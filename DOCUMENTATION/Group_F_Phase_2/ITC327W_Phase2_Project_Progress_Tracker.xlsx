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oitu\Downloads\"/>
    </mc:Choice>
  </mc:AlternateContent>
  <xr:revisionPtr revIDLastSave="0" documentId="13_ncr:1_{1F2A44D7-8366-4FF6-BDD7-8C060B3CB7A8}" xr6:coauthVersionLast="47" xr6:coauthVersionMax="47" xr10:uidLastSave="{00000000-0000-0000-0000-000000000000}"/>
  <bookViews>
    <workbookView xWindow="-105" yWindow="0" windowWidth="10455" windowHeight="10905" firstSheet="7" activeTab="7" xr2:uid="{00000000-000D-0000-FFFF-FFFF00000000}"/>
  </bookViews>
  <sheets>
    <sheet name="Instructions" sheetId="1" r:id="rId1"/>
    <sheet name="Project Overview" sheetId="2" r:id="rId2"/>
    <sheet name="Design Progress" sheetId="3" r:id="rId3"/>
    <sheet name="Individual Contributions" sheetId="4" r:id="rId4"/>
    <sheet name="Design Source Links"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 l="1"/>
  <c r="E7" i="2"/>
  <c r="E6" i="2"/>
  <c r="E5" i="2"/>
  <c r="E4" i="2"/>
</calcChain>
</file>

<file path=xl/sharedStrings.xml><?xml version="1.0" encoding="utf-8"?>
<sst xmlns="http://schemas.openxmlformats.org/spreadsheetml/2006/main" count="527" uniqueCount="287">
  <si>
    <t>ITC327W Phase 2 Project Progress Tracker</t>
  </si>
  <si>
    <t>Use this workbook during Phase 2: System Architecture and Design. Update it throughout the phase and submit the same workbook with Assessment 2.</t>
  </si>
  <si>
    <t>Sheet</t>
  </si>
  <si>
    <t>Purpose</t>
  </si>
  <si>
    <t>What must be kept current</t>
  </si>
  <si>
    <t>Project Overview</t>
  </si>
  <si>
    <t>Group details and automatic progress summary</t>
  </si>
  <si>
    <t>Group information, GitHub link and current Phase 2 progress</t>
  </si>
  <si>
    <t>Design Progress</t>
  </si>
  <si>
    <t>Track each design artefact and supporting work</t>
  </si>
  <si>
    <t>Architecture, UML, ERD, mobile/web interfaces, SRS and project-management tasks</t>
  </si>
  <si>
    <t>Individual Contributions</t>
  </si>
  <si>
    <t>Record work personally completed by each student</t>
  </si>
  <si>
    <t>Activity, responsibility, work completed and evidence</t>
  </si>
  <si>
    <t>Design Source Links</t>
  </si>
  <si>
    <t>Record editable source links/files for submitted designs</t>
  </si>
  <si>
    <t>Architecture, UML, ERD, mobile and web design sources</t>
  </si>
  <si>
    <t>Challenges &amp; Actions</t>
  </si>
  <si>
    <t>Record design/project challenges and corrective action</t>
  </si>
  <si>
    <t>Problem, effect, action, owner, target date and status</t>
  </si>
  <si>
    <t>Phase Summary</t>
  </si>
  <si>
    <t>Summarise what was achieved and what remains</t>
  </si>
  <si>
    <t>Phase status, completed work, gaps and next priorities</t>
  </si>
  <si>
    <t>Group Reflection</t>
  </si>
  <si>
    <t>One shared group reflection for Phase 2</t>
  </si>
  <si>
    <t>Participation, collaboration, challenges, learning and improvements</t>
  </si>
  <si>
    <t>Important</t>
  </si>
  <si>
    <t>Do not create a separate tracker for each activity. This Phase 2 workbook is updated as the group progresses. Evidence may include GitHub commits, screenshots, document sections, editable design links/files and other appropriate project evidence. Do not include passwords, API keys or confidential stakeholder information.</t>
  </si>
  <si>
    <t>Phase 2 Project Overview</t>
  </si>
  <si>
    <t>Group</t>
  </si>
  <si>
    <t>Phase 2 Progress Summary</t>
  </si>
  <si>
    <t>Project Title</t>
  </si>
  <si>
    <t>Total tracked items</t>
  </si>
  <si>
    <t>Stakeholder / Organisation</t>
  </si>
  <si>
    <t>Completed</t>
  </si>
  <si>
    <t>Group Leader</t>
  </si>
  <si>
    <t>In Progress</t>
  </si>
  <si>
    <t>Number of Group Members</t>
  </si>
  <si>
    <t>Blocked</t>
  </si>
  <si>
    <t>GitHub Repository Link</t>
  </si>
  <si>
    <t>Average completion</t>
  </si>
  <si>
    <t>Reporting Period</t>
  </si>
  <si>
    <t>Overall Phase Status</t>
  </si>
  <si>
    <t>Not Started</t>
  </si>
  <si>
    <t>Phase 2 Reminder</t>
  </si>
  <si>
    <t>Phase 2 focuses on system architecture and design. Track the design artefacts, the editable source links/files, individual contributions, challenges, Microsoft Project updates and GitHub evidence. No separate stakeholder-evidence section is required in this tracker.</t>
  </si>
  <si>
    <t>Phase 2 Design Progress</t>
  </si>
  <si>
    <t>Task ID</t>
  </si>
  <si>
    <t>Design / Project Item</t>
  </si>
  <si>
    <t>Description / Expected Output</t>
  </si>
  <si>
    <t>Responsible Student(s)</t>
  </si>
  <si>
    <t>Planned Date</t>
  </si>
  <si>
    <t>Actual Completion Date</t>
  </si>
  <si>
    <t>Status</t>
  </si>
  <si>
    <t>% Complete</t>
  </si>
  <si>
    <t>Evidence / Link</t>
  </si>
  <si>
    <t>Notes / Action Required</t>
  </si>
  <si>
    <t>P2-01</t>
  </si>
  <si>
    <t>System Architecture</t>
  </si>
  <si>
    <t>Overall architecture showing Flutter, ASP.NET and shared Supabase backend</t>
  </si>
  <si>
    <t>P2-02</t>
  </si>
  <si>
    <t>Use Case Diagram</t>
  </si>
  <si>
    <t>Actors, use cases, system boundary and appropriate UML relationships</t>
  </si>
  <si>
    <t>P2-03</t>
  </si>
  <si>
    <t>Sequence Diagram 1</t>
  </si>
  <si>
    <t>Important Flutter process</t>
  </si>
  <si>
    <t>P2-04</t>
  </si>
  <si>
    <t>Sequence Diagram 2</t>
  </si>
  <si>
    <t>Important ASP.NET process</t>
  </si>
  <si>
    <t>P2-05</t>
  </si>
  <si>
    <t>ERD</t>
  </si>
  <si>
    <t>Entities, attributes, PKs, FKs, relationships and cardinality</t>
  </si>
  <si>
    <t>P2-06</t>
  </si>
  <si>
    <t>Flutter Interface Designs</t>
  </si>
  <si>
    <t>Main mobile screens and navigation</t>
  </si>
  <si>
    <t>P2-07</t>
  </si>
  <si>
    <t>ASP.NET Interface Designs</t>
  </si>
  <si>
    <t>Main web pages and navigation</t>
  </si>
  <si>
    <t>P2-08</t>
  </si>
  <si>
    <t>Design Alignment</t>
  </si>
  <si>
    <t>Requirements linked across UML, ERD and interfaces</t>
  </si>
  <si>
    <t>P2-09</t>
  </si>
  <si>
    <t>Updated SRS</t>
  </si>
  <si>
    <t>Phase 2 architecture and design section inserted in existing SRS</t>
  </si>
  <si>
    <t>P2-10</t>
  </si>
  <si>
    <t>Microsoft Project</t>
  </si>
  <si>
    <t>Schedule updated to reflect design progress and upcoming development</t>
  </si>
  <si>
    <t>P2-11</t>
  </si>
  <si>
    <t>GitHub</t>
  </si>
  <si>
    <t>Current design documentation and repository organisation</t>
  </si>
  <si>
    <t>P2-12</t>
  </si>
  <si>
    <t>Phase 2 Presentation</t>
  </si>
  <si>
    <t>Presentation and defence preparation</t>
  </si>
  <si>
    <t>Phase 2 Individual Contributions</t>
  </si>
  <si>
    <t>Student Name</t>
  </si>
  <si>
    <t>Student Number</t>
  </si>
  <si>
    <t>Activity / Artefact</t>
  </si>
  <si>
    <t>Assigned Responsibility</t>
  </si>
  <si>
    <t>Work Personally Completed</t>
  </si>
  <si>
    <t>Date Completed</t>
  </si>
  <si>
    <t>Hours Spent</t>
  </si>
  <si>
    <t>Verified by Group</t>
  </si>
  <si>
    <t>Verification Date</t>
  </si>
  <si>
    <t>Quality / Review Notes</t>
  </si>
  <si>
    <t>Contribution Status</t>
  </si>
  <si>
    <t>No</t>
  </si>
  <si>
    <t>Phase 2 Original Design Source Links / Files</t>
  </si>
  <si>
    <t>Design Artefact</t>
  </si>
  <si>
    <t>Tool Used</t>
  </si>
  <si>
    <t>Editable Link / File Name</t>
  </si>
  <si>
    <t>Accessible to Lecturer?</t>
  </si>
  <si>
    <t>Last Updated</t>
  </si>
  <si>
    <t>Responsible Student</t>
  </si>
  <si>
    <t>Included in SRS?</t>
  </si>
  <si>
    <t>Notes</t>
  </si>
  <si>
    <t>Navigation Flow</t>
  </si>
  <si>
    <t>Phase 2 Challenges and Corrective Actions</t>
  </si>
  <si>
    <t>Date Identified</t>
  </si>
  <si>
    <t>Challenge</t>
  </si>
  <si>
    <t>Effect on Progress / Design</t>
  </si>
  <si>
    <t>Corrective Action</t>
  </si>
  <si>
    <t>Target Date</t>
  </si>
  <si>
    <t>Resolved Date</t>
  </si>
  <si>
    <t>Phase 2 Completion Checklist</t>
  </si>
  <si>
    <t>Complete?</t>
  </si>
  <si>
    <t>Architecture complete</t>
  </si>
  <si>
    <t>What was completed during Phase 2?</t>
  </si>
  <si>
    <t>Use Case Diagram complete</t>
  </si>
  <si>
    <t>What remains incomplete?</t>
  </si>
  <si>
    <t>Two Sequence Diagrams complete</t>
  </si>
  <si>
    <t>Why is it incomplete?</t>
  </si>
  <si>
    <t>ERD complete</t>
  </si>
  <si>
    <t>Which contributions were particularly important?</t>
  </si>
  <si>
    <t>Flutter interfaces complete</t>
  </si>
  <si>
    <t>Were there participation concerns?</t>
  </si>
  <si>
    <t>ASP.NET interfaces complete</t>
  </si>
  <si>
    <t>What will the group improve in Phase 3?</t>
  </si>
  <si>
    <t>Editable source links/files recorded</t>
  </si>
  <si>
    <t>Main priority for Phase 3</t>
  </si>
  <si>
    <t>SRS updated</t>
  </si>
  <si>
    <t>Microsoft Project updated</t>
  </si>
  <si>
    <t>GitHub current</t>
  </si>
  <si>
    <t>Individual contributions recorded</t>
  </si>
  <si>
    <t>Challenges/actions updated</t>
  </si>
  <si>
    <t>Group reflection completed</t>
  </si>
  <si>
    <t>Phase 2 Group Reflection</t>
  </si>
  <si>
    <t>1. What did the group complete successfully during Phase 2?</t>
  </si>
  <si>
    <t>2. Which architecture or design activities were the most challenging?</t>
  </si>
  <si>
    <t>3. How did the group ensure that Flutter, ASP.NET and Supabase were designed as one integrated system?</t>
  </si>
  <si>
    <t>4. How was work divided among group members, and was participation balanced?</t>
  </si>
  <si>
    <t>5. What did the group learn from developing the UML, ERD and interface designs?</t>
  </si>
  <si>
    <t>6. What will the group do differently during development in Phase 3?</t>
  </si>
  <si>
    <t>Group F</t>
  </si>
  <si>
    <t>CampusCare-Student Wellness System</t>
  </si>
  <si>
    <t>CUT Wellness Centre and Clinic</t>
  </si>
  <si>
    <t>BF Motseki</t>
  </si>
  <si>
    <t>https://github.com/shadrackbila/CampusCare_WIL_Group-F.git</t>
  </si>
  <si>
    <t>07 September - 02 October</t>
  </si>
  <si>
    <t>B Mbinga, ML Mwenda, BF Motseki</t>
  </si>
  <si>
    <t>07-09-2026</t>
  </si>
  <si>
    <t>12-09-2026</t>
  </si>
  <si>
    <t>Includes Supabase Auth, Database, Realtime. Reviewed against Phase 1 requirements.</t>
  </si>
  <si>
    <t>LD Mokheti, A Jara</t>
  </si>
  <si>
    <t>08-09-2026</t>
  </si>
  <si>
    <t>14-09-2026</t>
  </si>
  <si>
    <t>Includes association, include, extend, generalization. Actor generalization: Practitioner to Therapist to Peer Educator.</t>
  </si>
  <si>
    <t>10-09-2026</t>
  </si>
  <si>
    <t>16-09-2026</t>
  </si>
  <si>
    <t>Student submits appointment request to Flutter to Supabase. Includes auth validation and confirmation.</t>
  </si>
  <si>
    <t>ML Mwenda, B Mbinga</t>
  </si>
  <si>
    <t>S Bila, BF Motseki</t>
  </si>
  <si>
    <t>17-09-2026</t>
  </si>
  <si>
    <t>Therapist approves appointment to ASP.NET to Supabase to Flutter. Includes update to student.</t>
  </si>
  <si>
    <t>20-09-2026</t>
  </si>
  <si>
    <t>15-09-2026</t>
  </si>
  <si>
    <t>24-09-2026</t>
  </si>
  <si>
    <t>Includes Login, Register, Home, Book Appointment, My Appointments, Mood Tracker, Journal, Emotional Check-in, Wellness Resources, Medication Reminders, Secure Messages, Emergency SOS, Profile.</t>
  </si>
  <si>
    <t>22-09-2026</t>
  </si>
  <si>
    <t>28-09-2026</t>
  </si>
  <si>
    <t>Includes Login, Dashboard, Appointment List, Appointment Detail, Manage Availability, Student Wellness Records, Practitioner Verification, User Management, Basic Reports, Health Broadcasts, Secure Messages, Profile.</t>
  </si>
  <si>
    <t>LD Mokheti, A Jara, BF Motseki</t>
  </si>
  <si>
    <t>Verified FR1–FR16, NFR1–NFR3, SR1–SR2, IR1–IR2. All interfaces map to ERD fields.</t>
  </si>
  <si>
    <t>TV Thabisi, LD Mokheti, A Jara</t>
  </si>
  <si>
    <t>25-09-2026</t>
  </si>
  <si>
    <t>30-09-2026</t>
  </si>
  <si>
    <t>Added architecture, UML, ERD, interface designs, alignment matrix.</t>
  </si>
  <si>
    <t>26-09-2026</t>
  </si>
  <si>
    <t>01-10-2026</t>
  </si>
  <si>
    <t>Updated with Phase 2 tasks and Phase 3 development start. All Phase 2 tasks marked complete.</t>
  </si>
  <si>
    <t>S Bila. LD Mokheti</t>
  </si>
  <si>
    <t>All design artefacts committed to /design and /docs folders. README updated.</t>
  </si>
  <si>
    <t>BF Motseki, LD Mokheti, A Jara, TV Thabisi, ML Mwenda, S Bila, B Mbinga</t>
  </si>
  <si>
    <t>02-10-2026</t>
  </si>
  <si>
    <t>14-10-2026</t>
  </si>
  <si>
    <t>Covers architecture, UML, ERD, interfaces, alignment, and Phase 3 plan.</t>
  </si>
  <si>
    <t>P2-01, P2-08, P2-10, P2-12</t>
  </si>
  <si>
    <t>System architecture, design alignment, MS Project, presentation, group coordination</t>
  </si>
  <si>
    <t>Co-designed system architecture; led design alignment check across UML, ERD and interfaces; updated MS Project schedule; prepared Phase 2 presentation; coordinated group tasks and deadlines</t>
  </si>
  <si>
    <t>Yes</t>
  </si>
  <si>
    <t>Strong leadership; ensured all artefacts aligned</t>
  </si>
  <si>
    <t>LD Mokheti</t>
  </si>
  <si>
    <t>P2-02, P2-03, P2-07, P2-09</t>
  </si>
  <si>
    <t>Use Case Diagram, Sequence Diagram 2, design alignment, SRS update</t>
  </si>
  <si>
    <t>Created Use Case Diagram with all UML relationships; co-created ASP.NET sequence diagram; led design alignment matrix; updated SRS with Phase 2 sections</t>
  </si>
  <si>
    <t>Excellent UML and documentation skills</t>
  </si>
  <si>
    <t>A Jara</t>
  </si>
  <si>
    <t>Use Case Diagram, Sequence Diagram 1, ASP.NET interfaces, SRS</t>
  </si>
  <si>
    <t>Co-created Use Case Diagram; co-created Flutter sequence diagram; designed ASP.NET wireframes; contributed to SRS updates</t>
  </si>
  <si>
    <t>Good interface design and detail</t>
  </si>
  <si>
    <t>TV Thabisi</t>
  </si>
  <si>
    <t>P2-03, P2-04, P2-07</t>
  </si>
  <si>
    <t>Sequence Diagrams, ASP.NET interfaces</t>
  </si>
  <si>
    <t>Led creation of Sequence Diagram 1 and 2; co-designed ASP.NET wireframes; ensured correct message order and lifelines</t>
  </si>
  <si>
    <t>SRS-Sequence Diagram 1; Sequence Diagram 2; ASP.NET Interfaces</t>
  </si>
  <si>
    <t>B Mbinga</t>
  </si>
  <si>
    <t>P2-06, P2-11</t>
  </si>
  <si>
    <t>Flutter interfaces, GitHub</t>
  </si>
  <si>
    <t>Co-designed Flutter wireframes for all student screens; maintained GitHub repository with all design artefacts; updated README</t>
  </si>
  <si>
    <t>Good repository management and organisation</t>
  </si>
  <si>
    <t>S Bila</t>
  </si>
  <si>
    <t>System architecture, ERD</t>
  </si>
  <si>
    <t>P2-01, P2-05</t>
  </si>
  <si>
    <t>Co-designed system architecture showing Flutter, ASP.NET and Supabase; led ERD creation with all entities, attributes, PKs, FKs, relationships and cardinality</t>
  </si>
  <si>
    <t>Strong database design expertise</t>
  </si>
  <si>
    <t>ML Mwenda</t>
  </si>
  <si>
    <t>P2-01, P2-05, P2-06</t>
  </si>
  <si>
    <t>System architecture, ERD, Flutter interfaces</t>
  </si>
  <si>
    <t>Co-designed architecture; assisted with ERD; co-designed Flutter wireframes including navigation flow</t>
  </si>
  <si>
    <t>Improved engagement from Phase 1; good technical contribution</t>
  </si>
  <si>
    <t>draw.io</t>
  </si>
  <si>
    <t>Coordinating schedules for design review meetings</t>
  </si>
  <si>
    <t>Delayed alignment of UML and ERD</t>
  </si>
  <si>
    <t>Scheduled fixed weekly design check-ins; shared files on GitHub; used WhatsApp for quick decisions</t>
  </si>
  <si>
    <t>All members now attend or review minutes</t>
  </si>
  <si>
    <t>18-09-2026</t>
  </si>
  <si>
    <t>Ensuring all interfaces aligned with ERD</t>
  </si>
  <si>
    <t>Risk of missing fields in UI</t>
  </si>
  <si>
    <t>Created alignment matrix mapping interface fields to ERD attributes; reviewed as a group</t>
  </si>
  <si>
    <t>Alignment matrix completed and verified</t>
  </si>
  <si>
    <t>Limited time for wireframing all screens</t>
  </si>
  <si>
    <t>Potential delay in finalising designs</t>
  </si>
  <si>
    <t>Prioritised MVP screens; used Figma templates; divided screens among members; focused on layout not decoration</t>
  </si>
  <si>
    <t>All critical screens completed</t>
  </si>
  <si>
    <t>Updating SRS with all design artefacts</t>
  </si>
  <si>
    <t>SRS version control and consistency</t>
  </si>
  <si>
    <t>Used Git for versioning; reviewed changes as a group; compared against Phase 1 requirements</t>
  </si>
  <si>
    <t>SRS v2.0 completed and verified</t>
  </si>
  <si>
    <t>Ensuring POPIA compliance in interface designs</t>
  </si>
  <si>
    <t>Consent and data access must be visible in UI</t>
  </si>
  <si>
    <t>Added consent checkbox on intake form; added read-only restrictions for therapist views; fallback crisis line on SOS</t>
  </si>
  <si>
    <t>S Bila, B Mbinga, ML M wenda</t>
  </si>
  <si>
    <t>Verified against legal feasibility requirements</t>
  </si>
  <si>
    <t>07 September-02 October 2026</t>
  </si>
  <si>
    <t>System Architecture diagram showing Flutter, ASP.NET and Supabase as one integrated system; Use Case Diagram with all UML relationships; two Sequence Diagrams (Flutter appointment request and ASP.NET appointment approval); comprehensive ERD with all entities, attributes, PKs/FKs, relationships and cardinality; Flutter mobile wireframes for all student screens; ASP.NET web wireframes for all staff/admin pages; design alignment matrix; updated SRS v2.0 with all design artefacts; Microsoft Project updated; GitHub repository updated with all design files; Phase 2 presentation prepared.</t>
  </si>
  <si>
    <t>All Phase 2 tasks have been completed. Phase 3 (Development, Integration, Testing and Demonstration) is ready to begin.</t>
  </si>
  <si>
    <t>N/A-Phase 2 is complete.</t>
  </si>
  <si>
    <t>LD Mokheti’s leadership in UML and SRS updates; B Mbinga and ML Mwenda’s work on architecture and ERD; TV Thabisi’s sequence diagrams; A Jara’s interface designs; S Bila’s GitHub management; and BF Motseki’s overall coordination, alignment check, and MS Project updates.</t>
  </si>
  <si>
    <t>All members contributed meaningfully. ML Mwenda and S Bila were more engaged than in Phase 1. No major concerns. All tasks completed on time.</t>
  </si>
  <si>
    <t>1. Start development earlier. 2. Conduct more frequent code reviews. 3. Ensure integration testing is continuous. 4. Maintain clear communication on GitHub. 5. Hold weekly progress check-ins.</t>
  </si>
  <si>
    <t>Begin Flutter and ASP.NET development using the approved design baseline; set up Supabase schema; start integration and testing.</t>
  </si>
  <si>
    <t>We successfully produced a complete system architecture showing Flutter, ASP.NET and Supabase as one integrated system. We created a Use Case Diagram with correct UML relationships (association, include, extend, and generalization), two Sequence Diagrams (one for Flutter and one for ASP.NET), and a comprehensive ERD with all entities, attributes, primary/foreign keys, and cardinalities. We also designed wireframes for all key Flutter screens and ASP.NET pages, checked alignment across all artefacts, updated the SRS to v2.0, and maintained the GitHub repository. The Microsoft Project schedule was updated, and we prepared a Phase 2 presentation. All 12 tracked items were completed on time.</t>
  </si>
  <si>
    <t>The most challenging part was ensuring that every interface field mapped correctly to the ERD and that the sequence diagrams accurately reflected the data flows between Flutter, ASP.NET and Supabase. Aligning the UML, ERD and interfaces required several review sessions. We also had to be careful not to include postponed features (streaks, advanced analytics, SI/Tutor integration) in our designs. Time management was tight, but we prioritised MVP features and divided work effectively.</t>
  </si>
  <si>
    <t>We used the system architecture as our reference point. The architecture clearly showed both Flutter and ASP.NET connecting to the same Supabase backend (Auth, Database, Realtime). We created an alignment matrix that traced each functional requirement through the Use Case Diagram, Sequence Diagrams, ERD, and interface designs. This ensured that information entered in Flutter would be available in ASP.NET and vice versa. We also confirmed that both applications use the same Supabase Authentication and Database, with Realtime for instant synchronisation.</t>
  </si>
  <si>
    <t>Tasks were divided based on strengths and Phase 1 experience. LD Mokheti and A Jara led UML and SRS updates. B Mbinga and ML Mwenda handled architecture and ERD. TV Thabisi focused on sequence diagrams. A Jara and ML Mwenda designed interfaces. S Bila managed GitHub. BF Motseki coordinated, updated MS Project, and led the alignment check. Participation was balanced; all members contributed meaningfully. ML Mwenda and S Bila were more engaged than in Phase 1, which was a positive improvement.</t>
  </si>
  <si>
    <t>We learned that design artefacts must be consistent with each other. A change in one artefact (e.g., adding a field to the ERD) affects the interfaces and sequence diagrams. We also learned the importance of early stakeholder feedback on designs, though in this phase we focused on internal alignment. We improved our UML skills, especially with include/extend and generalization. We also learned to use tools like Figma, draw.io, and Lucidchart effectively. The alignment matrix was a valuable tool for ensuring consistency.</t>
  </si>
  <si>
    <t xml:space="preserve">In Phase 3, we will start coding earlier and integrate continuously. We will hold weekly code reviews and use GitHub branches for features. We will also test Supabase integration early to avoid surprises. We will keep the design baseline as our reference but remain flexible to make minor adjustments during development. Communication will remain a priority, and we will update the progress tracker regularly. We will also ensure that POPIA compliance and security requirements are implemented from the start, not added later.
</t>
  </si>
  <si>
    <t>https://github.com/shadrackbila/CampusCare_WIL_Group-F</t>
  </si>
  <si>
    <t>https://drive.google.com/file/d/1e1NmwJMd6LpJY7bJgYHu8NBqIcdodth7/view</t>
  </si>
  <si>
    <t>https://drive.google.com/file/d/10OXxBc7ZsnaAV-c1gf9nn6SALFTBEAIq/view?usp=sharing</t>
  </si>
  <si>
    <t>https://drive.google.com/file/d/1hcs5Oto1GA9AO6_5SFeGQnPAKOKrNi6y/view?usp=sharing</t>
  </si>
  <si>
    <t>https://www.figma.com/design/pIu7RB5B62NsLZreGgQjyV/CanpusCare?node-id=0-1&amp;t=T8DZQBrBHjEe0oVQ-1</t>
  </si>
  <si>
    <t>https://www.figma.com/design/Q3R0ZAdLubL69gpXvT6jTD/Untitled?node-id=168-205&amp;t=WVDCo3ZiN7yVuRf8-0</t>
  </si>
  <si>
    <t>SRS document</t>
  </si>
  <si>
    <t>MS Project file</t>
  </si>
  <si>
    <t>SRS document, MS Project file</t>
  </si>
  <si>
    <t>https://drive.google.com/file/d/1mYk5Ee4cTGuhW4nqf6pBMjvWPBcK8vG_/view?usp=sharing</t>
  </si>
  <si>
    <t>https://drive.google.com/file/d/1e1NmwJMd6LpJY7bJgYHu8NBqIcdodth7/view?usp=sharing</t>
  </si>
  <si>
    <t>SRS, https://drive.google.com/file/d/1hcs5Oto1GA9AO6_5SFeGQnPAKOKrNi6y/view?usp=sharing, https://www.figma.com/design/pIu7RB5B62NsLZreGgQjyV/CanpusCare?node-id=0-1&amp;t=T8DZQBrBHjEe0oVQ-1</t>
  </si>
  <si>
    <t>https://drive.google.com/file/d/1T3yudGf6AKdJ6OFCDsgc7J9ftjGHCgY4/view?usp=sharing</t>
  </si>
  <si>
    <t>figma</t>
  </si>
  <si>
    <t>24-9-2026</t>
  </si>
  <si>
    <t>A Jara, BF Motseki</t>
  </si>
  <si>
    <t>B Mbinga, S Bila</t>
  </si>
  <si>
    <t>S Bila, BF Motseki, ML Mwenda</t>
  </si>
  <si>
    <t>ALL</t>
  </si>
  <si>
    <t>Exported PNG in SRS</t>
  </si>
  <si>
    <t>Screenshots in SRS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</si>
</sst>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5"/>
      <color rgb="FFFFFFFF"/>
      <name val="Carlito"/>
    </font>
    <font>
      <b/>
      <sz val="11"/>
      <color rgb="FFFFFFFF"/>
      <name val="Carlito"/>
    </font>
    <font>
      <b/>
      <sz val="11"/>
      <name val="Carlito"/>
    </font>
    <font>
      <u/>
      <sz val="11"/>
      <color theme="10"/>
      <name val="Carlito"/>
    </font>
  </fonts>
  <fills count="7">
    <fill>
      <patternFill patternType="none"/>
    </fill>
    <fill>
      <patternFill patternType="gray125"/>
    </fill>
    <fill>
      <patternFill patternType="solid">
        <fgColor rgb="FF17365D"/>
      </patternFill>
    </fill>
    <fill>
      <patternFill patternType="solid">
        <fgColor rgb="FFF3F6FA"/>
      </patternFill>
    </fill>
    <fill>
      <patternFill patternType="solid">
        <fgColor rgb="FFD9EAF7"/>
      </patternFill>
    </fill>
    <fill>
      <patternFill patternType="solid">
        <fgColor rgb="FFFFF2CC"/>
      </patternFill>
    </fill>
    <fill>
      <patternFill patternType="solid">
        <fgColor rgb="FFE2F0D9"/>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2" fillId="2" borderId="0" xfId="0" applyFont="1" applyFill="1" applyAlignment="1">
      <alignment horizontal="center" vertical="center" wrapText="1"/>
    </xf>
    <xf numFmtId="0" fontId="0" fillId="0" borderId="0" xfId="0" applyAlignment="1">
      <alignment wrapText="1"/>
    </xf>
    <xf numFmtId="0" fontId="3" fillId="4" borderId="0" xfId="0" applyFont="1" applyFill="1"/>
    <xf numFmtId="0" fontId="3" fillId="4" borderId="0" xfId="0" applyFont="1" applyFill="1" applyAlignment="1">
      <alignment wrapText="1"/>
    </xf>
    <xf numFmtId="0" fontId="0" fillId="5" borderId="0" xfId="0" applyFill="1" applyAlignment="1">
      <alignment vertical="top" wrapText="1"/>
    </xf>
    <xf numFmtId="0" fontId="3" fillId="6" borderId="0" xfId="0" applyFont="1" applyFill="1" applyAlignment="1">
      <alignment horizontal="center"/>
    </xf>
    <xf numFmtId="9" fontId="3" fillId="6" borderId="0" xfId="0" applyNumberFormat="1" applyFont="1" applyFill="1" applyAlignment="1">
      <alignment horizontal="center"/>
    </xf>
    <xf numFmtId="9" fontId="0" fillId="5" borderId="0" xfId="0" applyNumberFormat="1" applyFill="1" applyAlignment="1">
      <alignment vertical="top" wrapText="1"/>
    </xf>
    <xf numFmtId="0" fontId="3" fillId="4" borderId="0" xfId="0" applyFont="1" applyFill="1" applyAlignment="1">
      <alignment vertical="top" wrapText="1"/>
    </xf>
    <xf numFmtId="0" fontId="4" fillId="0" borderId="0" xfId="1"/>
    <xf numFmtId="0" fontId="0" fillId="5" borderId="0" xfId="0" applyFill="1" applyAlignment="1">
      <alignment vertical="top" wrapText="1"/>
    </xf>
    <xf numFmtId="0" fontId="3" fillId="4" borderId="0" xfId="0" applyFont="1" applyFill="1" applyAlignment="1">
      <alignment wrapText="1"/>
    </xf>
    <xf numFmtId="0" fontId="1" fillId="2" borderId="0" xfId="0" applyFont="1" applyFill="1" applyAlignment="1">
      <alignment horizontal="center" vertical="center"/>
    </xf>
    <xf numFmtId="0" fontId="3" fillId="5" borderId="0" xfId="0" applyFont="1" applyFill="1" applyAlignment="1">
      <alignment vertical="top" wrapText="1"/>
    </xf>
    <xf numFmtId="0" fontId="3" fillId="4" borderId="0" xfId="0" applyFont="1" applyFill="1" applyAlignment="1">
      <alignment vertical="top" wrapText="1"/>
    </xf>
    <xf numFmtId="0" fontId="0" fillId="3" borderId="0" xfId="0" applyFill="1" applyAlignment="1">
      <alignment wrapText="1"/>
    </xf>
    <xf numFmtId="0" fontId="2" fillId="2" borderId="0" xfId="0" applyFont="1" applyFill="1"/>
    <xf numFmtId="0" fontId="0" fillId="3" borderId="0" xfId="0" applyFill="1" applyAlignment="1">
      <alignment vertical="top" wrapText="1"/>
    </xf>
    <xf numFmtId="0" fontId="2" fillId="2" borderId="0" xfId="0" applyFont="1" applyFill="1" applyAlignment="1">
      <alignment horizontal="center"/>
    </xf>
    <xf numFmtId="0" fontId="4" fillId="5" borderId="0" xfId="1" applyFill="1" applyAlignment="1">
      <alignment vertical="top" wrapText="1"/>
    </xf>
  </cellXfs>
  <cellStyles count="2">
    <cellStyle name="Hyperlink" xfId="1" builtinId="8"/>
    <cellStyle name="Normal" xfId="0" builtinId="0"/>
  </cellStyles>
  <dxfs count="5">
    <dxf>
      <fill>
        <patternFill patternType="solid">
          <bgColor rgb="FFF4CCCC"/>
        </patternFill>
      </fill>
    </dxf>
    <dxf>
      <fill>
        <patternFill patternType="solid">
          <bgColor rgb="FFE2F0D9"/>
        </patternFill>
      </fill>
    </dxf>
    <dxf>
      <fill>
        <patternFill patternType="solid">
          <bgColor rgb="FFE2F0D9"/>
        </patternFill>
      </fill>
    </dxf>
    <dxf>
      <fill>
        <patternFill patternType="solid">
          <bgColor rgb="FFF4CC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shadrackbila/CampusCare_WIL_Group-F.git" TargetMode="External"/><Relationship Id="rId1" Type="http://schemas.openxmlformats.org/officeDocument/2006/relationships/hyperlink" Target="https://github.com/shadrackbila/CampusCare_WIL_Group-F.gi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rive.google.com/file/d/10OXxBc7ZsnaAV-c1gf9nn6SALFTBEAIq/view?usp=sharing" TargetMode="External"/><Relationship Id="rId7" Type="http://schemas.openxmlformats.org/officeDocument/2006/relationships/hyperlink" Target="https://github.com/shadrackbila/CampusCare_WIL_Group-F" TargetMode="External"/><Relationship Id="rId2" Type="http://schemas.openxmlformats.org/officeDocument/2006/relationships/hyperlink" Target="https://github.com/shadrackbila/CampusCare_WIL_Group-F" TargetMode="External"/><Relationship Id="rId1" Type="http://schemas.openxmlformats.org/officeDocument/2006/relationships/hyperlink" Target="https://github.com/shadrackbila/CampusCare_WIL_Group-F" TargetMode="External"/><Relationship Id="rId6" Type="http://schemas.openxmlformats.org/officeDocument/2006/relationships/hyperlink" Target="https://www.figma.com/design/Q3R0ZAdLubL69gpXvT6jTD/Untitled?node-id=168-205&amp;t=WVDCo3ZiN7yVuRf8-0" TargetMode="External"/><Relationship Id="rId5" Type="http://schemas.openxmlformats.org/officeDocument/2006/relationships/hyperlink" Target="https://drive.google.com/file/d/1hcs5Oto1GA9AO6_5SFeGQnPAKOKrNi6y/view?usp=sharing" TargetMode="External"/><Relationship Id="rId4" Type="http://schemas.openxmlformats.org/officeDocument/2006/relationships/hyperlink" Target="https://drive.google.com/file/d/1e1NmwJMd6LpJY7bJgYHu8NBqIcdodth7/view"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file/d/10OXxBc7ZsnaAV-c1gf9nn6SALFTBEAIq/view?usp=sharing" TargetMode="External"/><Relationship Id="rId2" Type="http://schemas.openxmlformats.org/officeDocument/2006/relationships/hyperlink" Target="https://drive.google.com/file/d/10OXxBc7ZsnaAV-c1gf9nn6SALFTBEAIq/view?usp=sharing" TargetMode="External"/><Relationship Id="rId1" Type="http://schemas.openxmlformats.org/officeDocument/2006/relationships/hyperlink" Target="https://drive.google.com/file/d/1e1NmwJMd6LpJY7bJgYHu8NBqIcdodth7/view?usp=sharing" TargetMode="External"/><Relationship Id="rId4" Type="http://schemas.openxmlformats.org/officeDocument/2006/relationships/hyperlink" Target="https://www.figma.com/design/pIu7RB5B62NsLZreGgQjyV/CanpusCare?node-id=0-1&amp;t=T8DZQBrBHjEe0oVQ-1"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figma.com/design/Q3R0ZAdLubL69gpXvT6jTD/Untitled?node-id=168-205&amp;t=WVDCo3ZiN7yVuRf8-0" TargetMode="External"/><Relationship Id="rId3" Type="http://schemas.openxmlformats.org/officeDocument/2006/relationships/hyperlink" Target="https://drive.google.com/file/d/1hcs5Oto1GA9AO6_5SFeGQnPAKOKrNi6y/view?usp=sharing" TargetMode="External"/><Relationship Id="rId7" Type="http://schemas.openxmlformats.org/officeDocument/2006/relationships/hyperlink" Target="https://www.figma.com/design/Q3R0ZAdLubL69gpXvT6jTD/Untitled?node-id=168-205&amp;t=WVDCo3ZiN7yVuRf8-0" TargetMode="External"/><Relationship Id="rId2" Type="http://schemas.openxmlformats.org/officeDocument/2006/relationships/hyperlink" Target="https://drive.google.com/file/d/1mYk5Ee4cTGuhW4nqf6pBMjvWPBcK8vG_/view?usp=sharing" TargetMode="External"/><Relationship Id="rId1" Type="http://schemas.openxmlformats.org/officeDocument/2006/relationships/hyperlink" Target="https://drive.google.com/file/d/1T3yudGf6AKdJ6OFCDsgc7J9ftjGHCgY4/view?usp=sharing" TargetMode="External"/><Relationship Id="rId6" Type="http://schemas.openxmlformats.org/officeDocument/2006/relationships/hyperlink" Target="https://www.figma.com/design/pIu7RB5B62NsLZreGgQjyV/CanpusCare?node-id=0-1&amp;t=T8DZQBrBHjEe0oVQ-1" TargetMode="External"/><Relationship Id="rId5" Type="http://schemas.openxmlformats.org/officeDocument/2006/relationships/hyperlink" Target="https://drive.google.com/file/d/1e1NmwJMd6LpJY7bJgYHu8NBqIcdodth7/view?usp=sharing" TargetMode="External"/><Relationship Id="rId4" Type="http://schemas.openxmlformats.org/officeDocument/2006/relationships/hyperlink" Target="https://drive.google.com/file/d/10OXxBc7ZsnaAV-c1gf9nn6SALFTBEAIq/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opLeftCell="B4" workbookViewId="0">
      <selection sqref="A1:F1"/>
    </sheetView>
  </sheetViews>
  <sheetFormatPr defaultRowHeight="14.25"/>
  <cols>
    <col min="1" max="1" width="25" customWidth="1"/>
    <col min="2" max="2" width="38" customWidth="1"/>
    <col min="3" max="3" width="52" customWidth="1"/>
    <col min="4" max="6" width="14" customWidth="1"/>
  </cols>
  <sheetData>
    <row r="1" spans="1:6" ht="33.950000000000003" customHeight="1">
      <c r="A1" s="13" t="s">
        <v>0</v>
      </c>
      <c r="B1" s="13"/>
      <c r="C1" s="13"/>
      <c r="D1" s="13"/>
      <c r="E1" s="13"/>
      <c r="F1" s="13"/>
    </row>
    <row r="2" spans="1:6" ht="33.950000000000003" customHeight="1">
      <c r="A2" s="16" t="s">
        <v>1</v>
      </c>
      <c r="B2" s="16"/>
      <c r="C2" s="16"/>
      <c r="D2" s="16"/>
      <c r="E2" s="16"/>
      <c r="F2" s="16"/>
    </row>
    <row r="4" spans="1:6" ht="30" customHeight="1">
      <c r="A4" s="1" t="s">
        <v>2</v>
      </c>
      <c r="B4" s="1" t="s">
        <v>3</v>
      </c>
      <c r="C4" s="1" t="s">
        <v>4</v>
      </c>
    </row>
    <row r="5" spans="1:6" ht="39.950000000000003" customHeight="1">
      <c r="A5" s="2" t="s">
        <v>5</v>
      </c>
      <c r="B5" s="2" t="s">
        <v>6</v>
      </c>
      <c r="C5" s="2" t="s">
        <v>7</v>
      </c>
    </row>
    <row r="6" spans="1:6" ht="39.950000000000003" customHeight="1">
      <c r="A6" s="2" t="s">
        <v>8</v>
      </c>
      <c r="B6" s="2" t="s">
        <v>9</v>
      </c>
      <c r="C6" s="2" t="s">
        <v>10</v>
      </c>
    </row>
    <row r="7" spans="1:6" ht="39.950000000000003" customHeight="1">
      <c r="A7" s="2" t="s">
        <v>11</v>
      </c>
      <c r="B7" s="2" t="s">
        <v>12</v>
      </c>
      <c r="C7" s="2" t="s">
        <v>13</v>
      </c>
    </row>
    <row r="8" spans="1:6" ht="39.950000000000003" customHeight="1">
      <c r="A8" s="2" t="s">
        <v>14</v>
      </c>
      <c r="B8" s="2" t="s">
        <v>15</v>
      </c>
      <c r="C8" s="2" t="s">
        <v>16</v>
      </c>
    </row>
    <row r="9" spans="1:6" ht="39.950000000000003" customHeight="1">
      <c r="A9" s="2" t="s">
        <v>17</v>
      </c>
      <c r="B9" s="2" t="s">
        <v>18</v>
      </c>
      <c r="C9" s="2" t="s">
        <v>19</v>
      </c>
    </row>
    <row r="10" spans="1:6" ht="39.950000000000003" customHeight="1">
      <c r="A10" s="2" t="s">
        <v>20</v>
      </c>
      <c r="B10" s="2" t="s">
        <v>21</v>
      </c>
      <c r="C10" s="2" t="s">
        <v>22</v>
      </c>
    </row>
    <row r="11" spans="1:6" ht="39.950000000000003" customHeight="1">
      <c r="A11" s="2" t="s">
        <v>23</v>
      </c>
      <c r="B11" s="2" t="s">
        <v>24</v>
      </c>
      <c r="C11" s="2" t="s">
        <v>25</v>
      </c>
    </row>
    <row r="13" spans="1:6" ht="15">
      <c r="A13" s="17" t="s">
        <v>26</v>
      </c>
      <c r="B13" s="17"/>
      <c r="C13" s="17"/>
      <c r="D13" s="17"/>
      <c r="E13" s="17"/>
      <c r="F13" s="17"/>
    </row>
    <row r="14" spans="1:6">
      <c r="A14" s="18" t="s">
        <v>27</v>
      </c>
      <c r="B14" s="18"/>
      <c r="C14" s="18"/>
      <c r="D14" s="18"/>
      <c r="E14" s="18"/>
      <c r="F14" s="18"/>
    </row>
    <row r="15" spans="1:6">
      <c r="A15" s="18"/>
      <c r="B15" s="18"/>
      <c r="C15" s="18"/>
      <c r="D15" s="18"/>
      <c r="E15" s="18"/>
      <c r="F15" s="18"/>
    </row>
    <row r="16" spans="1:6">
      <c r="A16" s="18"/>
      <c r="B16" s="18"/>
      <c r="C16" s="18"/>
      <c r="D16" s="18"/>
      <c r="E16" s="18"/>
      <c r="F16" s="18"/>
    </row>
    <row r="17" spans="1:6">
      <c r="A17" s="18"/>
      <c r="B17" s="18"/>
      <c r="C17" s="18"/>
      <c r="D17" s="18"/>
      <c r="E17" s="18"/>
      <c r="F17" s="18"/>
    </row>
    <row r="18" spans="1:6">
      <c r="A18" s="18"/>
      <c r="B18" s="18"/>
      <c r="C18" s="18"/>
      <c r="D18" s="18"/>
      <c r="E18" s="18"/>
      <c r="F18" s="18"/>
    </row>
  </sheetData>
  <mergeCells count="4">
    <mergeCell ref="A1:F1"/>
    <mergeCell ref="A2:F2"/>
    <mergeCell ref="A13:F13"/>
    <mergeCell ref="A14: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selection activeCell="B8" sqref="B8"/>
    </sheetView>
  </sheetViews>
  <sheetFormatPr defaultRowHeight="14.25"/>
  <cols>
    <col min="1" max="1" width="27" customWidth="1"/>
    <col min="2" max="2" width="38" customWidth="1"/>
    <col min="3" max="3" width="4" customWidth="1"/>
    <col min="4" max="4" width="25" customWidth="1"/>
    <col min="5" max="5" width="18" customWidth="1"/>
    <col min="6" max="8" width="16" customWidth="1"/>
  </cols>
  <sheetData>
    <row r="1" spans="1:8" ht="33.950000000000003" customHeight="1">
      <c r="A1" s="13" t="s">
        <v>28</v>
      </c>
      <c r="B1" s="13"/>
      <c r="C1" s="13"/>
      <c r="D1" s="13"/>
      <c r="E1" s="13"/>
      <c r="F1" s="13"/>
      <c r="G1" s="13"/>
      <c r="H1" s="13"/>
    </row>
    <row r="3" spans="1:8" ht="15">
      <c r="A3" s="4" t="s">
        <v>29</v>
      </c>
      <c r="B3" s="5" t="s">
        <v>152</v>
      </c>
      <c r="D3" s="19" t="s">
        <v>30</v>
      </c>
      <c r="E3" s="19"/>
      <c r="F3" s="19"/>
      <c r="G3" s="19"/>
      <c r="H3" s="19"/>
    </row>
    <row r="4" spans="1:8" ht="15">
      <c r="A4" s="4" t="s">
        <v>31</v>
      </c>
      <c r="B4" s="5" t="s">
        <v>153</v>
      </c>
      <c r="D4" s="3" t="s">
        <v>32</v>
      </c>
      <c r="E4" s="6">
        <f>COUNTA('Design Progress'!A4:A33)</f>
        <v>12</v>
      </c>
    </row>
    <row r="5" spans="1:8" ht="15">
      <c r="A5" s="4" t="s">
        <v>33</v>
      </c>
      <c r="B5" s="5" t="s">
        <v>154</v>
      </c>
      <c r="D5" s="3" t="s">
        <v>34</v>
      </c>
      <c r="E5" s="6">
        <f>COUNTIF('Design Progress'!G4:G33,"Completed")</f>
        <v>12</v>
      </c>
    </row>
    <row r="6" spans="1:8" ht="15">
      <c r="A6" s="4" t="s">
        <v>35</v>
      </c>
      <c r="B6" s="5" t="s">
        <v>155</v>
      </c>
      <c r="D6" s="3" t="s">
        <v>36</v>
      </c>
      <c r="E6" s="6">
        <f>COUNTIF('Design Progress'!G4:G33,"In Progress")</f>
        <v>0</v>
      </c>
    </row>
    <row r="7" spans="1:8" ht="15">
      <c r="A7" s="4" t="s">
        <v>37</v>
      </c>
      <c r="B7" s="10">
        <v>7</v>
      </c>
      <c r="D7" s="3" t="s">
        <v>38</v>
      </c>
      <c r="E7" s="6">
        <f>COUNTIF('Design Progress'!G4:G33,"Blocked")</f>
        <v>0</v>
      </c>
    </row>
    <row r="8" spans="1:8" ht="15">
      <c r="A8" s="4" t="s">
        <v>39</v>
      </c>
      <c r="B8" s="10" t="s">
        <v>156</v>
      </c>
      <c r="D8" s="3" t="s">
        <v>40</v>
      </c>
      <c r="E8" s="7">
        <f>IFERROR(AVERAGE('Design Progress'!H4:H33),0)</f>
        <v>1</v>
      </c>
    </row>
    <row r="9" spans="1:8" ht="15">
      <c r="A9" s="4" t="s">
        <v>41</v>
      </c>
      <c r="B9" s="5" t="s">
        <v>157</v>
      </c>
    </row>
    <row r="10" spans="1:8" ht="15">
      <c r="A10" s="4" t="s">
        <v>42</v>
      </c>
      <c r="B10" s="5" t="s">
        <v>34</v>
      </c>
      <c r="D10" s="17" t="s">
        <v>44</v>
      </c>
      <c r="E10" s="17"/>
      <c r="F10" s="17"/>
      <c r="G10" s="17"/>
      <c r="H10" s="17"/>
    </row>
    <row r="11" spans="1:8">
      <c r="D11" s="18" t="s">
        <v>45</v>
      </c>
      <c r="E11" s="18"/>
      <c r="F11" s="18"/>
      <c r="G11" s="18"/>
      <c r="H11" s="18"/>
    </row>
    <row r="12" spans="1:8">
      <c r="D12" s="18"/>
      <c r="E12" s="18"/>
      <c r="F12" s="18"/>
      <c r="G12" s="18"/>
      <c r="H12" s="18"/>
    </row>
    <row r="13" spans="1:8">
      <c r="D13" s="18"/>
      <c r="E13" s="18"/>
      <c r="F13" s="18"/>
      <c r="G13" s="18"/>
      <c r="H13" s="18"/>
    </row>
    <row r="14" spans="1:8">
      <c r="D14" s="18"/>
      <c r="E14" s="18"/>
      <c r="F14" s="18"/>
      <c r="G14" s="18"/>
      <c r="H14" s="18"/>
    </row>
    <row r="15" spans="1:8">
      <c r="D15" s="18"/>
      <c r="E15" s="18"/>
      <c r="F15" s="18"/>
      <c r="G15" s="18"/>
      <c r="H15" s="18"/>
    </row>
  </sheetData>
  <mergeCells count="4">
    <mergeCell ref="A1:H1"/>
    <mergeCell ref="D3:H3"/>
    <mergeCell ref="D10:H10"/>
    <mergeCell ref="D11:H15"/>
  </mergeCells>
  <dataValidations count="1">
    <dataValidation type="list" sqref="B10" xr:uid="{00000000-0002-0000-0100-000000000000}">
      <formula1>"Not Started,In Progress,Completed,Blocked"</formula1>
    </dataValidation>
  </dataValidations>
  <hyperlinks>
    <hyperlink ref="B7" r:id="rId1" display="https://github.com/shadrackbila/CampusCare_WIL_Group-F.git" xr:uid="{15AC8E52-4772-4415-B18A-1D607243A9DA}"/>
    <hyperlink ref="B8" r:id="rId2" xr:uid="{2CE45D73-8044-4CBE-9E17-1C17249C3A2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topLeftCell="H4" workbookViewId="0">
      <selection activeCell="I17" sqref="I17"/>
    </sheetView>
  </sheetViews>
  <sheetFormatPr defaultRowHeight="14.25"/>
  <cols>
    <col min="1" max="1" width="11" customWidth="1"/>
    <col min="2" max="2" width="26" customWidth="1"/>
    <col min="3" max="3" width="44" customWidth="1"/>
    <col min="4" max="4" width="25" customWidth="1"/>
    <col min="5" max="7" width="15" customWidth="1"/>
    <col min="8" max="8" width="12" customWidth="1"/>
    <col min="9" max="10" width="34" customWidth="1"/>
  </cols>
  <sheetData>
    <row r="1" spans="1:10" ht="33.950000000000003" customHeight="1">
      <c r="A1" s="13" t="s">
        <v>46</v>
      </c>
      <c r="B1" s="13"/>
      <c r="C1" s="13"/>
      <c r="D1" s="13"/>
      <c r="E1" s="13"/>
      <c r="F1" s="13"/>
      <c r="G1" s="13"/>
      <c r="H1" s="13"/>
      <c r="I1" s="13"/>
      <c r="J1" s="13"/>
    </row>
    <row r="3" spans="1:10" ht="30" customHeight="1">
      <c r="A3" s="1" t="s">
        <v>47</v>
      </c>
      <c r="B3" s="1" t="s">
        <v>48</v>
      </c>
      <c r="C3" s="1" t="s">
        <v>49</v>
      </c>
      <c r="D3" s="1" t="s">
        <v>50</v>
      </c>
      <c r="E3" s="1" t="s">
        <v>51</v>
      </c>
      <c r="F3" s="1" t="s">
        <v>52</v>
      </c>
      <c r="G3" s="1" t="s">
        <v>53</v>
      </c>
      <c r="H3" s="1" t="s">
        <v>54</v>
      </c>
      <c r="I3" s="1" t="s">
        <v>55</v>
      </c>
      <c r="J3" s="1" t="s">
        <v>56</v>
      </c>
    </row>
    <row r="4" spans="1:10" ht="42.75">
      <c r="A4" s="2" t="s">
        <v>57</v>
      </c>
      <c r="B4" s="2" t="s">
        <v>58</v>
      </c>
      <c r="C4" s="2" t="s">
        <v>59</v>
      </c>
      <c r="D4" s="5" t="s">
        <v>158</v>
      </c>
      <c r="E4" s="5" t="s">
        <v>159</v>
      </c>
      <c r="F4" s="5" t="s">
        <v>160</v>
      </c>
      <c r="G4" s="5" t="s">
        <v>34</v>
      </c>
      <c r="H4" s="8">
        <v>1</v>
      </c>
      <c r="I4" s="20" t="s">
        <v>266</v>
      </c>
      <c r="J4" s="5" t="s">
        <v>161</v>
      </c>
    </row>
    <row r="5" spans="1:10" ht="57">
      <c r="A5" s="2" t="s">
        <v>60</v>
      </c>
      <c r="B5" s="2" t="s">
        <v>61</v>
      </c>
      <c r="C5" s="2" t="s">
        <v>62</v>
      </c>
      <c r="D5" s="5" t="s">
        <v>162</v>
      </c>
      <c r="E5" s="5" t="s">
        <v>163</v>
      </c>
      <c r="F5" s="5" t="s">
        <v>164</v>
      </c>
      <c r="G5" s="5" t="s">
        <v>34</v>
      </c>
      <c r="H5" s="8">
        <v>1</v>
      </c>
      <c r="I5" s="20" t="s">
        <v>266</v>
      </c>
      <c r="J5" s="5" t="s">
        <v>165</v>
      </c>
    </row>
    <row r="6" spans="1:10" ht="57">
      <c r="A6" s="2" t="s">
        <v>63</v>
      </c>
      <c r="B6" s="2" t="s">
        <v>64</v>
      </c>
      <c r="C6" s="2" t="s">
        <v>65</v>
      </c>
      <c r="D6" s="5" t="s">
        <v>169</v>
      </c>
      <c r="E6" s="5" t="s">
        <v>166</v>
      </c>
      <c r="F6" s="5" t="s">
        <v>167</v>
      </c>
      <c r="G6" s="5" t="s">
        <v>34</v>
      </c>
      <c r="H6" s="8">
        <v>1</v>
      </c>
      <c r="I6" s="20" t="s">
        <v>268</v>
      </c>
      <c r="J6" s="5" t="s">
        <v>168</v>
      </c>
    </row>
    <row r="7" spans="1:10" ht="42.75">
      <c r="A7" s="2" t="s">
        <v>66</v>
      </c>
      <c r="B7" s="2" t="s">
        <v>67</v>
      </c>
      <c r="C7" s="2" t="s">
        <v>68</v>
      </c>
      <c r="D7" s="5" t="s">
        <v>170</v>
      </c>
      <c r="E7" s="5" t="s">
        <v>166</v>
      </c>
      <c r="F7" s="5" t="s">
        <v>171</v>
      </c>
      <c r="G7" s="5" t="s">
        <v>34</v>
      </c>
      <c r="H7" s="8">
        <v>1</v>
      </c>
      <c r="I7" s="20" t="s">
        <v>267</v>
      </c>
      <c r="J7" s="5" t="s">
        <v>172</v>
      </c>
    </row>
    <row r="8" spans="1:10" ht="42.75">
      <c r="A8" s="2" t="s">
        <v>69</v>
      </c>
      <c r="B8" s="2" t="s">
        <v>70</v>
      </c>
      <c r="C8" s="2" t="s">
        <v>71</v>
      </c>
      <c r="D8" s="5" t="s">
        <v>162</v>
      </c>
      <c r="E8" s="5" t="s">
        <v>160</v>
      </c>
      <c r="F8" s="5" t="s">
        <v>173</v>
      </c>
      <c r="G8" s="5" t="s">
        <v>34</v>
      </c>
      <c r="H8" s="8">
        <v>1</v>
      </c>
      <c r="I8" s="20" t="s">
        <v>269</v>
      </c>
      <c r="J8" s="5"/>
    </row>
    <row r="9" spans="1:10" ht="85.5">
      <c r="A9" s="2" t="s">
        <v>72</v>
      </c>
      <c r="B9" s="2" t="s">
        <v>73</v>
      </c>
      <c r="C9" s="2" t="s">
        <v>74</v>
      </c>
      <c r="D9" s="5" t="s">
        <v>169</v>
      </c>
      <c r="E9" s="5" t="s">
        <v>174</v>
      </c>
      <c r="F9" s="5" t="s">
        <v>175</v>
      </c>
      <c r="G9" s="5" t="s">
        <v>34</v>
      </c>
      <c r="H9" s="8">
        <v>1</v>
      </c>
      <c r="I9" s="5" t="s">
        <v>270</v>
      </c>
      <c r="J9" s="5" t="s">
        <v>176</v>
      </c>
    </row>
    <row r="10" spans="1:10" ht="85.5">
      <c r="A10" s="2" t="s">
        <v>75</v>
      </c>
      <c r="B10" s="2" t="s">
        <v>76</v>
      </c>
      <c r="C10" s="2" t="s">
        <v>77</v>
      </c>
      <c r="D10" s="5" t="s">
        <v>170</v>
      </c>
      <c r="E10" s="5" t="s">
        <v>177</v>
      </c>
      <c r="F10" s="5" t="s">
        <v>178</v>
      </c>
      <c r="G10" s="5" t="s">
        <v>34</v>
      </c>
      <c r="H10" s="8">
        <v>1</v>
      </c>
      <c r="I10" s="20" t="s">
        <v>271</v>
      </c>
      <c r="J10" s="5" t="s">
        <v>179</v>
      </c>
    </row>
    <row r="11" spans="1:10" ht="42.75">
      <c r="A11" s="2" t="s">
        <v>78</v>
      </c>
      <c r="B11" s="2" t="s">
        <v>79</v>
      </c>
      <c r="C11" s="2" t="s">
        <v>80</v>
      </c>
      <c r="D11" s="5" t="s">
        <v>180</v>
      </c>
      <c r="E11" s="5" t="s">
        <v>177</v>
      </c>
      <c r="F11" s="5" t="s">
        <v>178</v>
      </c>
      <c r="G11" s="5" t="s">
        <v>34</v>
      </c>
      <c r="H11" s="8">
        <v>1</v>
      </c>
      <c r="I11" s="20" t="s">
        <v>266</v>
      </c>
      <c r="J11" s="5" t="s">
        <v>181</v>
      </c>
    </row>
    <row r="12" spans="1:10" ht="28.5">
      <c r="A12" s="2" t="s">
        <v>81</v>
      </c>
      <c r="B12" s="2" t="s">
        <v>82</v>
      </c>
      <c r="C12" s="2" t="s">
        <v>83</v>
      </c>
      <c r="D12" s="5" t="s">
        <v>182</v>
      </c>
      <c r="E12" s="5" t="s">
        <v>183</v>
      </c>
      <c r="F12" s="5" t="s">
        <v>184</v>
      </c>
      <c r="G12" s="5" t="s">
        <v>34</v>
      </c>
      <c r="H12" s="8">
        <v>1</v>
      </c>
      <c r="I12" s="5" t="s">
        <v>272</v>
      </c>
      <c r="J12" s="5" t="s">
        <v>185</v>
      </c>
    </row>
    <row r="13" spans="1:10" ht="42.75">
      <c r="A13" s="2" t="s">
        <v>84</v>
      </c>
      <c r="B13" s="2" t="s">
        <v>85</v>
      </c>
      <c r="C13" s="2" t="s">
        <v>86</v>
      </c>
      <c r="D13" s="5" t="s">
        <v>155</v>
      </c>
      <c r="E13" s="5" t="s">
        <v>186</v>
      </c>
      <c r="F13" s="5" t="s">
        <v>187</v>
      </c>
      <c r="G13" s="5" t="s">
        <v>34</v>
      </c>
      <c r="H13" s="8">
        <v>1</v>
      </c>
      <c r="I13" s="5" t="s">
        <v>273</v>
      </c>
      <c r="J13" s="5" t="s">
        <v>188</v>
      </c>
    </row>
    <row r="14" spans="1:10" ht="42.75">
      <c r="A14" s="2" t="s">
        <v>87</v>
      </c>
      <c r="B14" s="2" t="s">
        <v>88</v>
      </c>
      <c r="C14" s="2" t="s">
        <v>89</v>
      </c>
      <c r="D14" s="5" t="s">
        <v>189</v>
      </c>
      <c r="E14" s="5" t="s">
        <v>186</v>
      </c>
      <c r="F14" s="5" t="s">
        <v>187</v>
      </c>
      <c r="G14" s="5" t="s">
        <v>34</v>
      </c>
      <c r="H14" s="8">
        <v>1</v>
      </c>
      <c r="I14" s="5" t="s">
        <v>156</v>
      </c>
      <c r="J14" s="5" t="s">
        <v>190</v>
      </c>
    </row>
    <row r="15" spans="1:10" ht="42.75">
      <c r="A15" s="2" t="s">
        <v>90</v>
      </c>
      <c r="B15" s="2" t="s">
        <v>91</v>
      </c>
      <c r="C15" s="2" t="s">
        <v>92</v>
      </c>
      <c r="D15" s="5" t="s">
        <v>191</v>
      </c>
      <c r="E15" s="5" t="s">
        <v>193</v>
      </c>
      <c r="F15" s="5" t="s">
        <v>193</v>
      </c>
      <c r="G15" s="5" t="s">
        <v>34</v>
      </c>
      <c r="H15" s="8">
        <v>1</v>
      </c>
      <c r="I15" s="5" t="s">
        <v>272</v>
      </c>
      <c r="J15" s="5" t="s">
        <v>194</v>
      </c>
    </row>
    <row r="16" spans="1:10">
      <c r="A16" s="2"/>
      <c r="B16" s="2"/>
      <c r="C16" s="2"/>
      <c r="D16" s="5"/>
      <c r="E16" s="5"/>
      <c r="F16" s="5"/>
      <c r="G16" s="5"/>
      <c r="H16" s="8"/>
      <c r="I16" s="5"/>
      <c r="J16" s="5"/>
    </row>
    <row r="17" spans="1:10">
      <c r="A17" s="2"/>
      <c r="B17" s="2"/>
      <c r="C17" s="2"/>
      <c r="D17" s="5"/>
      <c r="E17" s="5"/>
      <c r="F17" s="5"/>
      <c r="G17" s="5"/>
      <c r="H17" s="8"/>
      <c r="I17" s="5"/>
      <c r="J17" s="5"/>
    </row>
    <row r="18" spans="1:10">
      <c r="A18" s="2"/>
      <c r="B18" s="2"/>
      <c r="C18" s="2"/>
      <c r="D18" s="5"/>
      <c r="E18" s="5"/>
      <c r="F18" s="5"/>
      <c r="G18" s="5"/>
      <c r="H18" s="8"/>
      <c r="I18" s="5"/>
      <c r="J18" s="5"/>
    </row>
    <row r="19" spans="1:10">
      <c r="A19" s="2"/>
      <c r="B19" s="2"/>
      <c r="C19" s="2"/>
      <c r="D19" s="5"/>
      <c r="E19" s="5"/>
      <c r="F19" s="5"/>
      <c r="G19" s="5"/>
      <c r="H19" s="8"/>
      <c r="I19" s="5"/>
      <c r="J19" s="5"/>
    </row>
    <row r="20" spans="1:10">
      <c r="A20" s="2"/>
      <c r="B20" s="2"/>
      <c r="C20" s="2"/>
      <c r="D20" s="5"/>
      <c r="E20" s="5"/>
      <c r="F20" s="5"/>
      <c r="G20" s="5"/>
      <c r="H20" s="8"/>
      <c r="I20" s="5"/>
      <c r="J20" s="5"/>
    </row>
    <row r="21" spans="1:10">
      <c r="A21" s="2"/>
      <c r="B21" s="2"/>
      <c r="C21" s="2"/>
      <c r="D21" s="5"/>
      <c r="E21" s="5"/>
      <c r="F21" s="5"/>
      <c r="G21" s="5"/>
      <c r="H21" s="8"/>
      <c r="I21" s="5"/>
      <c r="J21" s="5"/>
    </row>
    <row r="22" spans="1:10">
      <c r="A22" s="2"/>
      <c r="B22" s="2"/>
      <c r="C22" s="2"/>
      <c r="D22" s="5"/>
      <c r="E22" s="5"/>
      <c r="F22" s="5"/>
      <c r="G22" s="5"/>
      <c r="H22" s="8"/>
      <c r="I22" s="5"/>
      <c r="J22" s="5"/>
    </row>
    <row r="23" spans="1:10">
      <c r="A23" s="2"/>
      <c r="B23" s="2"/>
      <c r="C23" s="2"/>
      <c r="D23" s="5"/>
      <c r="E23" s="5"/>
      <c r="F23" s="5"/>
      <c r="G23" s="5"/>
      <c r="H23" s="8"/>
      <c r="I23" s="5"/>
      <c r="J23" s="5"/>
    </row>
    <row r="24" spans="1:10">
      <c r="A24" s="2"/>
      <c r="B24" s="2"/>
      <c r="C24" s="2"/>
      <c r="D24" s="5"/>
      <c r="E24" s="5"/>
      <c r="F24" s="5"/>
      <c r="G24" s="5"/>
      <c r="H24" s="8"/>
      <c r="I24" s="5"/>
      <c r="J24" s="5"/>
    </row>
    <row r="25" spans="1:10">
      <c r="A25" s="2"/>
      <c r="B25" s="2"/>
      <c r="C25" s="2"/>
      <c r="D25" s="5"/>
      <c r="E25" s="5"/>
      <c r="F25" s="5"/>
      <c r="G25" s="5"/>
      <c r="H25" s="8"/>
      <c r="I25" s="5"/>
      <c r="J25" s="5"/>
    </row>
    <row r="26" spans="1:10">
      <c r="A26" s="2"/>
      <c r="B26" s="2"/>
      <c r="C26" s="2"/>
      <c r="D26" s="5"/>
      <c r="E26" s="5"/>
      <c r="F26" s="5"/>
      <c r="G26" s="5"/>
      <c r="H26" s="8"/>
      <c r="I26" s="5"/>
      <c r="J26" s="5"/>
    </row>
    <row r="27" spans="1:10">
      <c r="A27" s="2"/>
      <c r="B27" s="2"/>
      <c r="C27" s="2"/>
      <c r="D27" s="5"/>
      <c r="E27" s="5"/>
      <c r="F27" s="5"/>
      <c r="G27" s="5"/>
      <c r="H27" s="8"/>
      <c r="I27" s="5"/>
      <c r="J27" s="5"/>
    </row>
    <row r="28" spans="1:10">
      <c r="A28" s="2"/>
      <c r="B28" s="2"/>
      <c r="C28" s="2"/>
      <c r="D28" s="5"/>
      <c r="E28" s="5"/>
      <c r="F28" s="5"/>
      <c r="G28" s="5"/>
      <c r="H28" s="8"/>
      <c r="I28" s="5"/>
      <c r="J28" s="5"/>
    </row>
    <row r="29" spans="1:10">
      <c r="A29" s="2"/>
      <c r="B29" s="2"/>
      <c r="C29" s="2"/>
      <c r="D29" s="5"/>
      <c r="E29" s="5"/>
      <c r="F29" s="5"/>
      <c r="G29" s="5"/>
      <c r="H29" s="8"/>
      <c r="I29" s="5"/>
      <c r="J29" s="5"/>
    </row>
    <row r="30" spans="1:10">
      <c r="A30" s="2"/>
      <c r="B30" s="2"/>
      <c r="C30" s="2"/>
      <c r="D30" s="5"/>
      <c r="E30" s="5"/>
      <c r="F30" s="5"/>
      <c r="G30" s="5"/>
      <c r="H30" s="8"/>
      <c r="I30" s="5"/>
      <c r="J30" s="5"/>
    </row>
    <row r="31" spans="1:10">
      <c r="A31" s="2"/>
      <c r="B31" s="2"/>
      <c r="C31" s="2"/>
      <c r="D31" s="5"/>
      <c r="E31" s="5"/>
      <c r="F31" s="5"/>
      <c r="G31" s="5"/>
      <c r="H31" s="8"/>
      <c r="I31" s="5"/>
      <c r="J31" s="5"/>
    </row>
    <row r="32" spans="1:10">
      <c r="A32" s="2"/>
      <c r="B32" s="2"/>
      <c r="C32" s="2"/>
      <c r="D32" s="5"/>
      <c r="E32" s="5"/>
      <c r="F32" s="5"/>
      <c r="G32" s="5"/>
      <c r="H32" s="8"/>
      <c r="I32" s="5"/>
      <c r="J32" s="5"/>
    </row>
    <row r="33" spans="1:10">
      <c r="A33" s="2"/>
      <c r="B33" s="2"/>
      <c r="C33" s="2"/>
      <c r="D33" s="5"/>
      <c r="E33" s="5"/>
      <c r="F33" s="5"/>
      <c r="G33" s="5"/>
      <c r="H33" s="8"/>
      <c r="I33" s="5"/>
      <c r="J33" s="5"/>
    </row>
  </sheetData>
  <mergeCells count="1">
    <mergeCell ref="A1:J1"/>
  </mergeCells>
  <conditionalFormatting sqref="G4:G33">
    <cfRule type="expression" dxfId="4" priority="1">
      <formula>G4="Completed"</formula>
    </cfRule>
    <cfRule type="expression" dxfId="3" priority="2">
      <formula>G4="Blocked"</formula>
    </cfRule>
  </conditionalFormatting>
  <conditionalFormatting sqref="H4:H33">
    <cfRule type="dataBar" priority="3">
      <dataBar>
        <cfvo type="min"/>
        <cfvo type="max"/>
        <color rgb="FFA02B93"/>
      </dataBar>
    </cfRule>
    <cfRule type="dataBar" priority="4">
      <dataBar>
        <cfvo type="min"/>
        <cfvo type="max"/>
        <color rgb="FFA02B93"/>
      </dataBar>
      <extLst>
        <ext xmlns:x14="http://schemas.microsoft.com/office/spreadsheetml/2009/9/main" uri="{B025F937-C7B1-47D3-B67F-A62EFF666E3E}">
          <x14:id>{A4682585-4117-09FE-7F56-FC8BDAE995FA}</x14:id>
        </ext>
      </extLst>
    </cfRule>
  </conditionalFormatting>
  <dataValidations count="1">
    <dataValidation type="list" sqref="G4:G33" xr:uid="{00000000-0002-0000-0200-000000000000}">
      <formula1>"Not Started,In Progress,Completed,Blocked"</formula1>
    </dataValidation>
  </dataValidations>
  <hyperlinks>
    <hyperlink ref="I4" r:id="rId1" xr:uid="{C86C2DF2-FFD7-4514-A10F-E6ACEAD01C69}"/>
    <hyperlink ref="I5" r:id="rId2" xr:uid="{C12AF549-7C91-4843-8266-D1A6906D9F96}"/>
    <hyperlink ref="I6" r:id="rId3" xr:uid="{46A4E588-BBB6-4AE1-BD07-5C5E10923D34}"/>
    <hyperlink ref="I7" r:id="rId4" xr:uid="{7D4941E9-1538-47D3-8082-C67575038B0F}"/>
    <hyperlink ref="I8" r:id="rId5" xr:uid="{A26DD612-584F-4629-92D6-05AF886F2A0D}"/>
    <hyperlink ref="I10" r:id="rId6" xr:uid="{EF370CBB-2C58-436B-AC6E-041E15E6E88F}"/>
    <hyperlink ref="I11" r:id="rId7" xr:uid="{60D35631-49A6-468A-82FF-6780B5822C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4682585-4117-09FE-7F56-FC8BDAE995FA}">
            <x14:dataBar>
              <x14:cfvo type="min"/>
              <x14:cfvo type="max"/>
              <x14:negativeFillColor auto="1"/>
              <x14:axisColor auto="1"/>
            </x14:dataBar>
          </x14:cfRule>
          <xm:sqref>H4:H33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topLeftCell="E6" workbookViewId="0">
      <selection activeCell="H16" sqref="H12:H16"/>
    </sheetView>
  </sheetViews>
  <sheetFormatPr defaultRowHeight="14.25"/>
  <cols>
    <col min="1" max="1" width="22" customWidth="1"/>
    <col min="2" max="2" width="16" customWidth="1"/>
    <col min="3" max="3" width="24" customWidth="1"/>
    <col min="4" max="4" width="28" customWidth="1"/>
    <col min="5" max="5" width="40" customWidth="1"/>
    <col min="6" max="6" width="15" customWidth="1"/>
    <col min="7" max="7" width="12" customWidth="1"/>
    <col min="8" max="8" width="34" customWidth="1"/>
    <col min="9" max="10" width="15" customWidth="1"/>
    <col min="11" max="11" width="34" customWidth="1"/>
    <col min="12" max="12" width="16" customWidth="1"/>
  </cols>
  <sheetData>
    <row r="1" spans="1:12" ht="33.950000000000003" customHeight="1">
      <c r="A1" s="13" t="s">
        <v>93</v>
      </c>
      <c r="B1" s="13"/>
      <c r="C1" s="13"/>
      <c r="D1" s="13"/>
      <c r="E1" s="13"/>
      <c r="F1" s="13"/>
      <c r="G1" s="13"/>
      <c r="H1" s="13"/>
      <c r="I1" s="13"/>
      <c r="J1" s="13"/>
      <c r="K1" s="13"/>
      <c r="L1" s="13"/>
    </row>
    <row r="3" spans="1:12" ht="30" customHeight="1">
      <c r="A3" s="1" t="s">
        <v>94</v>
      </c>
      <c r="B3" s="1" t="s">
        <v>95</v>
      </c>
      <c r="C3" s="1" t="s">
        <v>96</v>
      </c>
      <c r="D3" s="1" t="s">
        <v>97</v>
      </c>
      <c r="E3" s="1" t="s">
        <v>98</v>
      </c>
      <c r="F3" s="1" t="s">
        <v>99</v>
      </c>
      <c r="G3" s="1" t="s">
        <v>100</v>
      </c>
      <c r="H3" s="1" t="s">
        <v>55</v>
      </c>
      <c r="I3" s="1" t="s">
        <v>101</v>
      </c>
      <c r="J3" s="1" t="s">
        <v>102</v>
      </c>
      <c r="K3" s="1" t="s">
        <v>103</v>
      </c>
      <c r="L3" s="1" t="s">
        <v>104</v>
      </c>
    </row>
    <row r="4" spans="1:12" ht="71.25">
      <c r="A4" s="5" t="s">
        <v>155</v>
      </c>
      <c r="B4" s="5">
        <v>223038085</v>
      </c>
      <c r="C4" s="5" t="s">
        <v>195</v>
      </c>
      <c r="D4" s="5" t="s">
        <v>196</v>
      </c>
      <c r="E4" s="5" t="s">
        <v>197</v>
      </c>
      <c r="F4" s="5" t="s">
        <v>187</v>
      </c>
      <c r="G4" s="5">
        <v>18</v>
      </c>
      <c r="H4" s="5" t="s">
        <v>274</v>
      </c>
      <c r="I4" s="5" t="s">
        <v>198</v>
      </c>
      <c r="J4" s="5" t="s">
        <v>192</v>
      </c>
      <c r="K4" s="5" t="s">
        <v>199</v>
      </c>
      <c r="L4" s="5" t="s">
        <v>34</v>
      </c>
    </row>
    <row r="5" spans="1:12" ht="57">
      <c r="A5" s="5" t="s">
        <v>200</v>
      </c>
      <c r="B5" s="5">
        <v>223007530</v>
      </c>
      <c r="C5" s="5" t="s">
        <v>201</v>
      </c>
      <c r="D5" s="5" t="s">
        <v>202</v>
      </c>
      <c r="E5" s="5" t="s">
        <v>203</v>
      </c>
      <c r="F5" s="5" t="s">
        <v>184</v>
      </c>
      <c r="G5" s="5">
        <v>20</v>
      </c>
      <c r="H5" s="20" t="s">
        <v>276</v>
      </c>
      <c r="I5" s="5" t="s">
        <v>198</v>
      </c>
      <c r="J5" s="5" t="s">
        <v>192</v>
      </c>
      <c r="K5" s="5" t="s">
        <v>204</v>
      </c>
      <c r="L5" s="5" t="s">
        <v>34</v>
      </c>
    </row>
    <row r="6" spans="1:12" ht="57">
      <c r="A6" s="5" t="s">
        <v>205</v>
      </c>
      <c r="B6" s="5">
        <v>223007530</v>
      </c>
      <c r="C6" s="5" t="s">
        <v>201</v>
      </c>
      <c r="D6" s="5" t="s">
        <v>206</v>
      </c>
      <c r="E6" s="5" t="s">
        <v>207</v>
      </c>
      <c r="F6" s="5" t="s">
        <v>184</v>
      </c>
      <c r="G6" s="5">
        <v>19</v>
      </c>
      <c r="H6" s="20" t="s">
        <v>268</v>
      </c>
      <c r="I6" s="5" t="s">
        <v>198</v>
      </c>
      <c r="J6" s="5" t="s">
        <v>192</v>
      </c>
      <c r="K6" s="5" t="s">
        <v>208</v>
      </c>
      <c r="L6" s="5" t="s">
        <v>34</v>
      </c>
    </row>
    <row r="7" spans="1:12" ht="57">
      <c r="A7" s="5" t="s">
        <v>209</v>
      </c>
      <c r="B7" s="5">
        <v>223005893</v>
      </c>
      <c r="C7" s="5" t="s">
        <v>210</v>
      </c>
      <c r="D7" s="5" t="s">
        <v>211</v>
      </c>
      <c r="E7" s="5" t="s">
        <v>212</v>
      </c>
      <c r="F7" s="5" t="s">
        <v>183</v>
      </c>
      <c r="G7" s="5">
        <v>16</v>
      </c>
      <c r="H7" s="20" t="s">
        <v>268</v>
      </c>
      <c r="I7" s="5" t="s">
        <v>198</v>
      </c>
      <c r="J7" s="5" t="s">
        <v>183</v>
      </c>
      <c r="K7" s="5" t="s">
        <v>213</v>
      </c>
      <c r="L7" s="5" t="s">
        <v>34</v>
      </c>
    </row>
    <row r="8" spans="1:12" ht="57">
      <c r="A8" s="5" t="s">
        <v>214</v>
      </c>
      <c r="B8" s="5">
        <v>223020021</v>
      </c>
      <c r="C8" s="5" t="s">
        <v>221</v>
      </c>
      <c r="D8" s="5" t="s">
        <v>220</v>
      </c>
      <c r="E8" s="5" t="s">
        <v>222</v>
      </c>
      <c r="F8" s="5" t="s">
        <v>173</v>
      </c>
      <c r="G8" s="5">
        <v>15</v>
      </c>
      <c r="H8" s="5" t="s">
        <v>272</v>
      </c>
      <c r="I8" s="5" t="s">
        <v>198</v>
      </c>
      <c r="J8" s="5" t="s">
        <v>192</v>
      </c>
      <c r="K8" s="5" t="s">
        <v>223</v>
      </c>
      <c r="L8" s="5" t="s">
        <v>34</v>
      </c>
    </row>
    <row r="9" spans="1:12" ht="42.75">
      <c r="A9" s="5" t="s">
        <v>219</v>
      </c>
      <c r="B9" s="5">
        <v>223048044</v>
      </c>
      <c r="C9" s="5" t="s">
        <v>215</v>
      </c>
      <c r="D9" s="5" t="s">
        <v>216</v>
      </c>
      <c r="E9" s="5" t="s">
        <v>217</v>
      </c>
      <c r="F9" s="5" t="s">
        <v>187</v>
      </c>
      <c r="G9" s="5">
        <v>12</v>
      </c>
      <c r="H9" s="20" t="s">
        <v>270</v>
      </c>
      <c r="I9" s="5" t="s">
        <v>198</v>
      </c>
      <c r="J9" s="5" t="s">
        <v>192</v>
      </c>
      <c r="K9" s="5" t="s">
        <v>218</v>
      </c>
      <c r="L9" s="5" t="s">
        <v>34</v>
      </c>
    </row>
    <row r="10" spans="1:12" ht="99.75">
      <c r="A10" s="5" t="s">
        <v>224</v>
      </c>
      <c r="B10" s="5">
        <v>221034577</v>
      </c>
      <c r="C10" s="5" t="s">
        <v>225</v>
      </c>
      <c r="D10" s="5" t="s">
        <v>226</v>
      </c>
      <c r="E10" s="5" t="s">
        <v>227</v>
      </c>
      <c r="F10" s="5" t="s">
        <v>175</v>
      </c>
      <c r="G10" s="5">
        <v>14</v>
      </c>
      <c r="H10" s="5" t="s">
        <v>277</v>
      </c>
      <c r="I10" s="5" t="s">
        <v>198</v>
      </c>
      <c r="J10" s="5" t="s">
        <v>192</v>
      </c>
      <c r="K10" s="5" t="s">
        <v>228</v>
      </c>
      <c r="L10" s="5" t="s">
        <v>34</v>
      </c>
    </row>
    <row r="11" spans="1:12">
      <c r="A11" s="5"/>
      <c r="B11" s="5"/>
      <c r="C11" s="5"/>
      <c r="D11" s="5"/>
      <c r="E11" s="5"/>
      <c r="F11" s="5"/>
      <c r="G11" s="5"/>
      <c r="H11" s="5"/>
      <c r="I11" s="5" t="s">
        <v>105</v>
      </c>
      <c r="J11" s="5"/>
      <c r="K11" s="5"/>
      <c r="L11" s="5" t="s">
        <v>43</v>
      </c>
    </row>
    <row r="12" spans="1:12">
      <c r="A12" s="5"/>
      <c r="B12" s="5"/>
      <c r="C12" s="5"/>
      <c r="D12" s="5"/>
      <c r="E12" s="5"/>
      <c r="F12" s="5"/>
      <c r="G12" s="5"/>
      <c r="H12" s="5"/>
      <c r="I12" s="5" t="s">
        <v>105</v>
      </c>
      <c r="J12" s="5"/>
      <c r="K12" s="5"/>
      <c r="L12" s="5" t="s">
        <v>43</v>
      </c>
    </row>
    <row r="13" spans="1:12">
      <c r="A13" s="5"/>
      <c r="B13" s="5"/>
      <c r="C13" s="5"/>
      <c r="D13" s="5"/>
      <c r="E13" s="5"/>
      <c r="F13" s="5"/>
      <c r="G13" s="5"/>
      <c r="H13" s="5"/>
      <c r="I13" s="5" t="s">
        <v>105</v>
      </c>
      <c r="J13" s="5"/>
      <c r="K13" s="5"/>
      <c r="L13" s="5" t="s">
        <v>43</v>
      </c>
    </row>
    <row r="14" spans="1:12">
      <c r="A14" s="5"/>
      <c r="B14" s="5"/>
      <c r="C14" s="5"/>
      <c r="D14" s="5"/>
      <c r="E14" s="5"/>
      <c r="F14" s="5"/>
      <c r="G14" s="5"/>
      <c r="H14" s="5"/>
      <c r="I14" s="5" t="s">
        <v>105</v>
      </c>
      <c r="J14" s="5"/>
      <c r="K14" s="5"/>
      <c r="L14" s="5" t="s">
        <v>43</v>
      </c>
    </row>
    <row r="15" spans="1:12">
      <c r="A15" s="5"/>
      <c r="B15" s="5"/>
      <c r="C15" s="5"/>
      <c r="D15" s="5"/>
      <c r="E15" s="5"/>
      <c r="F15" s="5"/>
      <c r="G15" s="5"/>
      <c r="H15" s="5"/>
      <c r="I15" s="5" t="s">
        <v>105</v>
      </c>
      <c r="J15" s="5"/>
      <c r="K15" s="5"/>
      <c r="L15" s="5" t="s">
        <v>43</v>
      </c>
    </row>
    <row r="16" spans="1:12">
      <c r="A16" s="5"/>
      <c r="B16" s="5"/>
      <c r="C16" s="5"/>
      <c r="D16" s="5"/>
      <c r="E16" s="5"/>
      <c r="F16" s="5"/>
      <c r="G16" s="5"/>
      <c r="H16" s="5"/>
      <c r="I16" s="5" t="s">
        <v>105</v>
      </c>
      <c r="J16" s="5"/>
      <c r="K16" s="5"/>
      <c r="L16" s="5" t="s">
        <v>43</v>
      </c>
    </row>
    <row r="17" spans="1:12">
      <c r="A17" s="5"/>
      <c r="B17" s="5"/>
      <c r="C17" s="5"/>
      <c r="D17" s="5"/>
      <c r="E17" s="5"/>
      <c r="F17" s="5"/>
      <c r="G17" s="5"/>
      <c r="H17" s="5"/>
      <c r="I17" s="5" t="s">
        <v>105</v>
      </c>
      <c r="J17" s="5"/>
      <c r="K17" s="5"/>
      <c r="L17" s="5" t="s">
        <v>43</v>
      </c>
    </row>
    <row r="18" spans="1:12">
      <c r="A18" s="5"/>
      <c r="B18" s="5"/>
      <c r="C18" s="5"/>
      <c r="D18" s="5"/>
      <c r="E18" s="5"/>
      <c r="F18" s="5"/>
      <c r="G18" s="5"/>
      <c r="H18" s="5"/>
      <c r="I18" s="5" t="s">
        <v>105</v>
      </c>
      <c r="J18" s="5"/>
      <c r="K18" s="5"/>
      <c r="L18" s="5" t="s">
        <v>43</v>
      </c>
    </row>
    <row r="19" spans="1:12">
      <c r="A19" s="5"/>
      <c r="B19" s="5"/>
      <c r="C19" s="5"/>
      <c r="D19" s="5"/>
      <c r="E19" s="5"/>
      <c r="F19" s="5"/>
      <c r="G19" s="5"/>
      <c r="H19" s="5"/>
      <c r="I19" s="5" t="s">
        <v>105</v>
      </c>
      <c r="J19" s="5"/>
      <c r="K19" s="5"/>
      <c r="L19" s="5" t="s">
        <v>43</v>
      </c>
    </row>
    <row r="20" spans="1:12">
      <c r="A20" s="5"/>
      <c r="B20" s="5"/>
      <c r="C20" s="5"/>
      <c r="D20" s="5"/>
      <c r="E20" s="5"/>
      <c r="F20" s="5"/>
      <c r="G20" s="5"/>
      <c r="H20" s="5"/>
      <c r="I20" s="5" t="s">
        <v>105</v>
      </c>
      <c r="J20" s="5"/>
      <c r="K20" s="5"/>
      <c r="L20" s="5" t="s">
        <v>43</v>
      </c>
    </row>
    <row r="21" spans="1:12">
      <c r="A21" s="5"/>
      <c r="B21" s="5"/>
      <c r="C21" s="5"/>
      <c r="D21" s="5"/>
      <c r="E21" s="5"/>
      <c r="F21" s="5"/>
      <c r="G21" s="5"/>
      <c r="H21" s="5"/>
      <c r="I21" s="5" t="s">
        <v>105</v>
      </c>
      <c r="J21" s="5"/>
      <c r="K21" s="5"/>
      <c r="L21" s="5" t="s">
        <v>43</v>
      </c>
    </row>
    <row r="22" spans="1:12">
      <c r="A22" s="5"/>
      <c r="B22" s="5"/>
      <c r="C22" s="5"/>
      <c r="D22" s="5"/>
      <c r="E22" s="5"/>
      <c r="F22" s="5"/>
      <c r="G22" s="5"/>
      <c r="H22" s="5"/>
      <c r="I22" s="5" t="s">
        <v>105</v>
      </c>
      <c r="J22" s="5"/>
      <c r="K22" s="5"/>
      <c r="L22" s="5" t="s">
        <v>43</v>
      </c>
    </row>
    <row r="23" spans="1:12">
      <c r="A23" s="5"/>
      <c r="B23" s="5"/>
      <c r="C23" s="5"/>
      <c r="D23" s="5"/>
      <c r="E23" s="5"/>
      <c r="F23" s="5"/>
      <c r="G23" s="5"/>
      <c r="H23" s="5"/>
      <c r="I23" s="5" t="s">
        <v>105</v>
      </c>
      <c r="J23" s="5"/>
      <c r="K23" s="5"/>
      <c r="L23" s="5" t="s">
        <v>43</v>
      </c>
    </row>
    <row r="24" spans="1:12">
      <c r="A24" s="5"/>
      <c r="B24" s="5"/>
      <c r="C24" s="5"/>
      <c r="D24" s="5"/>
      <c r="E24" s="5"/>
      <c r="F24" s="5"/>
      <c r="G24" s="5"/>
      <c r="H24" s="5"/>
      <c r="I24" s="5" t="s">
        <v>105</v>
      </c>
      <c r="J24" s="5"/>
      <c r="K24" s="5"/>
      <c r="L24" s="5" t="s">
        <v>43</v>
      </c>
    </row>
    <row r="25" spans="1:12">
      <c r="A25" s="5"/>
      <c r="B25" s="5"/>
      <c r="C25" s="5"/>
      <c r="D25" s="5"/>
      <c r="E25" s="5"/>
      <c r="F25" s="5"/>
      <c r="G25" s="5"/>
      <c r="H25" s="5"/>
      <c r="I25" s="5" t="s">
        <v>105</v>
      </c>
      <c r="J25" s="5"/>
      <c r="K25" s="5"/>
      <c r="L25" s="5" t="s">
        <v>43</v>
      </c>
    </row>
    <row r="26" spans="1:12">
      <c r="A26" s="5"/>
      <c r="B26" s="5"/>
      <c r="C26" s="5"/>
      <c r="D26" s="5"/>
      <c r="E26" s="5"/>
      <c r="F26" s="5"/>
      <c r="G26" s="5"/>
      <c r="H26" s="5"/>
      <c r="I26" s="5" t="s">
        <v>105</v>
      </c>
      <c r="J26" s="5"/>
      <c r="K26" s="5"/>
      <c r="L26" s="5" t="s">
        <v>43</v>
      </c>
    </row>
    <row r="27" spans="1:12">
      <c r="A27" s="5"/>
      <c r="B27" s="5"/>
      <c r="C27" s="5"/>
      <c r="D27" s="5"/>
      <c r="E27" s="5"/>
      <c r="F27" s="5"/>
      <c r="G27" s="5"/>
      <c r="H27" s="5"/>
      <c r="I27" s="5" t="s">
        <v>105</v>
      </c>
      <c r="J27" s="5"/>
      <c r="K27" s="5"/>
      <c r="L27" s="5" t="s">
        <v>43</v>
      </c>
    </row>
    <row r="28" spans="1:12">
      <c r="A28" s="5"/>
      <c r="B28" s="5"/>
      <c r="C28" s="5"/>
      <c r="D28" s="5"/>
      <c r="E28" s="5"/>
      <c r="F28" s="5"/>
      <c r="G28" s="5"/>
      <c r="H28" s="5"/>
      <c r="I28" s="5" t="s">
        <v>105</v>
      </c>
      <c r="J28" s="5"/>
      <c r="K28" s="5"/>
      <c r="L28" s="5" t="s">
        <v>43</v>
      </c>
    </row>
    <row r="29" spans="1:12">
      <c r="A29" s="5"/>
      <c r="B29" s="5"/>
      <c r="C29" s="5"/>
      <c r="D29" s="5"/>
      <c r="E29" s="5"/>
      <c r="F29" s="5"/>
      <c r="G29" s="5"/>
      <c r="H29" s="5"/>
      <c r="I29" s="5" t="s">
        <v>105</v>
      </c>
      <c r="J29" s="5"/>
      <c r="K29" s="5"/>
      <c r="L29" s="5" t="s">
        <v>43</v>
      </c>
    </row>
    <row r="30" spans="1:12">
      <c r="A30" s="5"/>
      <c r="B30" s="5"/>
      <c r="C30" s="5"/>
      <c r="D30" s="5"/>
      <c r="E30" s="5"/>
      <c r="F30" s="5"/>
      <c r="G30" s="5"/>
      <c r="H30" s="5"/>
      <c r="I30" s="5" t="s">
        <v>105</v>
      </c>
      <c r="J30" s="5"/>
      <c r="K30" s="5"/>
      <c r="L30" s="5" t="s">
        <v>43</v>
      </c>
    </row>
    <row r="31" spans="1:12">
      <c r="A31" s="5"/>
      <c r="B31" s="5"/>
      <c r="C31" s="5"/>
      <c r="D31" s="5"/>
      <c r="E31" s="5"/>
      <c r="F31" s="5"/>
      <c r="G31" s="5"/>
      <c r="H31" s="5"/>
      <c r="I31" s="5" t="s">
        <v>105</v>
      </c>
      <c r="J31" s="5"/>
      <c r="K31" s="5"/>
      <c r="L31" s="5" t="s">
        <v>43</v>
      </c>
    </row>
    <row r="32" spans="1:12">
      <c r="A32" s="5"/>
      <c r="B32" s="5"/>
      <c r="C32" s="5"/>
      <c r="D32" s="5"/>
      <c r="E32" s="5"/>
      <c r="F32" s="5"/>
      <c r="G32" s="5"/>
      <c r="H32" s="5"/>
      <c r="I32" s="5" t="s">
        <v>105</v>
      </c>
      <c r="J32" s="5"/>
      <c r="K32" s="5"/>
      <c r="L32" s="5" t="s">
        <v>43</v>
      </c>
    </row>
    <row r="33" spans="1:12">
      <c r="A33" s="5"/>
      <c r="B33" s="5"/>
      <c r="C33" s="5"/>
      <c r="D33" s="5"/>
      <c r="E33" s="5"/>
      <c r="F33" s="5"/>
      <c r="G33" s="5"/>
      <c r="H33" s="5"/>
      <c r="I33" s="5" t="s">
        <v>105</v>
      </c>
      <c r="J33" s="5"/>
      <c r="K33" s="5"/>
      <c r="L33" s="5" t="s">
        <v>43</v>
      </c>
    </row>
    <row r="34" spans="1:12">
      <c r="A34" s="5"/>
      <c r="B34" s="5"/>
      <c r="C34" s="5"/>
      <c r="D34" s="5"/>
      <c r="E34" s="5"/>
      <c r="F34" s="5"/>
      <c r="G34" s="5"/>
      <c r="H34" s="5"/>
      <c r="I34" s="5" t="s">
        <v>105</v>
      </c>
      <c r="J34" s="5"/>
      <c r="K34" s="5"/>
      <c r="L34" s="5" t="s">
        <v>43</v>
      </c>
    </row>
    <row r="35" spans="1:12">
      <c r="A35" s="5"/>
      <c r="B35" s="5"/>
      <c r="C35" s="5"/>
      <c r="D35" s="5"/>
      <c r="E35" s="5"/>
      <c r="F35" s="5"/>
      <c r="G35" s="5"/>
      <c r="H35" s="5"/>
      <c r="I35" s="5" t="s">
        <v>105</v>
      </c>
      <c r="J35" s="5"/>
      <c r="K35" s="5"/>
      <c r="L35" s="5" t="s">
        <v>43</v>
      </c>
    </row>
    <row r="36" spans="1:12">
      <c r="A36" s="5"/>
      <c r="B36" s="5"/>
      <c r="C36" s="5"/>
      <c r="D36" s="5"/>
      <c r="E36" s="5"/>
      <c r="F36" s="5"/>
      <c r="G36" s="5"/>
      <c r="H36" s="5"/>
      <c r="I36" s="5" t="s">
        <v>105</v>
      </c>
      <c r="J36" s="5"/>
      <c r="K36" s="5"/>
      <c r="L36" s="5" t="s">
        <v>43</v>
      </c>
    </row>
    <row r="37" spans="1:12">
      <c r="A37" s="5"/>
      <c r="B37" s="5"/>
      <c r="C37" s="5"/>
      <c r="D37" s="5"/>
      <c r="E37" s="5"/>
      <c r="F37" s="5"/>
      <c r="G37" s="5"/>
      <c r="H37" s="5"/>
      <c r="I37" s="5" t="s">
        <v>105</v>
      </c>
      <c r="J37" s="5"/>
      <c r="K37" s="5"/>
      <c r="L37" s="5" t="s">
        <v>43</v>
      </c>
    </row>
    <row r="38" spans="1:12">
      <c r="A38" s="5"/>
      <c r="B38" s="5"/>
      <c r="C38" s="5"/>
      <c r="D38" s="5"/>
      <c r="E38" s="5"/>
      <c r="F38" s="5"/>
      <c r="G38" s="5"/>
      <c r="H38" s="5"/>
      <c r="I38" s="5" t="s">
        <v>105</v>
      </c>
      <c r="J38" s="5"/>
      <c r="K38" s="5"/>
      <c r="L38" s="5" t="s">
        <v>43</v>
      </c>
    </row>
    <row r="39" spans="1:12">
      <c r="A39" s="5"/>
      <c r="B39" s="5"/>
      <c r="C39" s="5"/>
      <c r="D39" s="5"/>
      <c r="E39" s="5"/>
      <c r="F39" s="5"/>
      <c r="G39" s="5"/>
      <c r="H39" s="5"/>
      <c r="I39" s="5" t="s">
        <v>105</v>
      </c>
      <c r="J39" s="5"/>
      <c r="K39" s="5"/>
      <c r="L39" s="5" t="s">
        <v>43</v>
      </c>
    </row>
    <row r="40" spans="1:12">
      <c r="A40" s="5"/>
      <c r="B40" s="5"/>
      <c r="C40" s="5"/>
      <c r="D40" s="5"/>
      <c r="E40" s="5"/>
      <c r="F40" s="5"/>
      <c r="G40" s="5"/>
      <c r="H40" s="5"/>
      <c r="I40" s="5" t="s">
        <v>105</v>
      </c>
      <c r="J40" s="5"/>
      <c r="K40" s="5"/>
      <c r="L40" s="5" t="s">
        <v>43</v>
      </c>
    </row>
    <row r="41" spans="1:12">
      <c r="A41" s="5"/>
      <c r="B41" s="5"/>
      <c r="C41" s="5"/>
      <c r="D41" s="5"/>
      <c r="E41" s="5"/>
      <c r="F41" s="5"/>
      <c r="G41" s="5"/>
      <c r="H41" s="5"/>
      <c r="I41" s="5" t="s">
        <v>105</v>
      </c>
      <c r="J41" s="5"/>
      <c r="K41" s="5"/>
      <c r="L41" s="5" t="s">
        <v>43</v>
      </c>
    </row>
    <row r="42" spans="1:12">
      <c r="A42" s="5"/>
      <c r="B42" s="5"/>
      <c r="C42" s="5"/>
      <c r="D42" s="5"/>
      <c r="E42" s="5"/>
      <c r="F42" s="5"/>
      <c r="G42" s="5"/>
      <c r="H42" s="5"/>
      <c r="I42" s="5" t="s">
        <v>105</v>
      </c>
      <c r="J42" s="5"/>
      <c r="K42" s="5"/>
      <c r="L42" s="5" t="s">
        <v>43</v>
      </c>
    </row>
    <row r="43" spans="1:12">
      <c r="A43" s="5"/>
      <c r="B43" s="5"/>
      <c r="C43" s="5"/>
      <c r="D43" s="5"/>
      <c r="E43" s="5"/>
      <c r="F43" s="5"/>
      <c r="G43" s="5"/>
      <c r="H43" s="5"/>
      <c r="I43" s="5" t="s">
        <v>105</v>
      </c>
      <c r="J43" s="5"/>
      <c r="K43" s="5"/>
      <c r="L43" s="5" t="s">
        <v>43</v>
      </c>
    </row>
  </sheetData>
  <mergeCells count="1">
    <mergeCell ref="A1:L1"/>
  </mergeCells>
  <conditionalFormatting sqref="L4:L43">
    <cfRule type="expression" dxfId="2" priority="1">
      <formula>L4="Completed"</formula>
    </cfRule>
  </conditionalFormatting>
  <dataValidations count="2">
    <dataValidation type="list" sqref="I4:I43" xr:uid="{00000000-0002-0000-0300-000000000000}">
      <formula1>"Yes,No"</formula1>
    </dataValidation>
    <dataValidation type="list" sqref="L4:L43" xr:uid="{00000000-0002-0000-0300-000001000000}">
      <formula1>"Not Started,In Progress,Completed,Blocked"</formula1>
    </dataValidation>
  </dataValidations>
  <hyperlinks>
    <hyperlink ref="H5" r:id="rId1" xr:uid="{84EA0D7B-5EEF-4A92-AA27-A7D73BFBA931}"/>
    <hyperlink ref="H6" r:id="rId2" xr:uid="{0B4A3E4F-DF0A-4C2D-976F-B930D0A4955B}"/>
    <hyperlink ref="H7" r:id="rId3" xr:uid="{3CD1A11E-1D82-429C-85D9-17240E3152DA}"/>
    <hyperlink ref="H9" r:id="rId4" xr:uid="{B71644D1-1E45-41EA-A06E-FE5203B635A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topLeftCell="F1" workbookViewId="0">
      <selection activeCell="H10" sqref="H10"/>
    </sheetView>
  </sheetViews>
  <sheetFormatPr defaultRowHeight="14.25"/>
  <cols>
    <col min="1" max="1" width="28" customWidth="1"/>
    <col min="2" max="2" width="20" customWidth="1"/>
    <col min="3" max="3" width="44" customWidth="1"/>
    <col min="4" max="4" width="20" customWidth="1"/>
    <col min="5" max="5" width="15" customWidth="1"/>
    <col min="6" max="6" width="23" customWidth="1"/>
    <col min="7" max="7" width="16" customWidth="1"/>
    <col min="8" max="8" width="34" customWidth="1"/>
  </cols>
  <sheetData>
    <row r="1" spans="1:8" ht="33.950000000000003" customHeight="1">
      <c r="A1" s="13" t="s">
        <v>106</v>
      </c>
      <c r="B1" s="13"/>
      <c r="C1" s="13"/>
      <c r="D1" s="13"/>
      <c r="E1" s="13"/>
      <c r="F1" s="13"/>
      <c r="G1" s="13"/>
      <c r="H1" s="13"/>
    </row>
    <row r="3" spans="1:8" ht="30" customHeight="1">
      <c r="A3" s="1" t="s">
        <v>107</v>
      </c>
      <c r="B3" s="1" t="s">
        <v>108</v>
      </c>
      <c r="C3" s="1" t="s">
        <v>109</v>
      </c>
      <c r="D3" s="1" t="s">
        <v>110</v>
      </c>
      <c r="E3" s="1" t="s">
        <v>111</v>
      </c>
      <c r="F3" s="1" t="s">
        <v>112</v>
      </c>
      <c r="G3" s="1" t="s">
        <v>113</v>
      </c>
      <c r="H3" s="1" t="s">
        <v>114</v>
      </c>
    </row>
    <row r="4" spans="1:8" ht="28.5">
      <c r="A4" t="s">
        <v>58</v>
      </c>
      <c r="B4" s="5" t="s">
        <v>229</v>
      </c>
      <c r="C4" s="20" t="s">
        <v>278</v>
      </c>
      <c r="D4" s="5" t="s">
        <v>198</v>
      </c>
      <c r="E4" s="5" t="s">
        <v>160</v>
      </c>
      <c r="F4" s="5" t="s">
        <v>200</v>
      </c>
      <c r="G4" s="5" t="s">
        <v>198</v>
      </c>
      <c r="H4" s="5" t="s">
        <v>285</v>
      </c>
    </row>
    <row r="5" spans="1:8" ht="28.5">
      <c r="A5" t="s">
        <v>61</v>
      </c>
      <c r="B5" s="5" t="s">
        <v>229</v>
      </c>
      <c r="C5" s="20" t="s">
        <v>275</v>
      </c>
      <c r="D5" s="5" t="s">
        <v>198</v>
      </c>
      <c r="E5" s="5" t="s">
        <v>164</v>
      </c>
      <c r="F5" s="5" t="s">
        <v>205</v>
      </c>
      <c r="G5" s="5" t="s">
        <v>198</v>
      </c>
      <c r="H5" s="5"/>
    </row>
    <row r="6" spans="1:8" ht="28.5">
      <c r="A6" t="s">
        <v>64</v>
      </c>
      <c r="B6" s="5" t="s">
        <v>229</v>
      </c>
      <c r="C6" s="20" t="s">
        <v>268</v>
      </c>
      <c r="D6" s="5" t="s">
        <v>198</v>
      </c>
      <c r="E6" s="5" t="s">
        <v>167</v>
      </c>
      <c r="F6" s="5" t="s">
        <v>281</v>
      </c>
      <c r="G6" s="5" t="s">
        <v>198</v>
      </c>
      <c r="H6" s="5"/>
    </row>
    <row r="7" spans="1:8" ht="28.5">
      <c r="A7" t="s">
        <v>67</v>
      </c>
      <c r="B7" s="5" t="s">
        <v>229</v>
      </c>
      <c r="C7" s="20" t="s">
        <v>276</v>
      </c>
      <c r="D7" s="5" t="s">
        <v>198</v>
      </c>
      <c r="E7" s="5" t="s">
        <v>171</v>
      </c>
      <c r="F7" s="5" t="s">
        <v>162</v>
      </c>
      <c r="G7" s="5" t="s">
        <v>198</v>
      </c>
      <c r="H7" s="5"/>
    </row>
    <row r="8" spans="1:8" ht="28.5">
      <c r="A8" t="s">
        <v>70</v>
      </c>
      <c r="B8" s="5" t="s">
        <v>229</v>
      </c>
      <c r="C8" s="20" t="s">
        <v>269</v>
      </c>
      <c r="D8" s="5" t="s">
        <v>198</v>
      </c>
      <c r="E8" s="5" t="s">
        <v>173</v>
      </c>
      <c r="F8" s="5" t="s">
        <v>282</v>
      </c>
      <c r="G8" s="5" t="s">
        <v>198</v>
      </c>
      <c r="H8" s="5"/>
    </row>
    <row r="9" spans="1:8" ht="42.75">
      <c r="A9" t="s">
        <v>73</v>
      </c>
      <c r="B9" s="5" t="s">
        <v>279</v>
      </c>
      <c r="C9" s="20" t="s">
        <v>270</v>
      </c>
      <c r="D9" s="5" t="s">
        <v>198</v>
      </c>
      <c r="E9" s="5" t="s">
        <v>280</v>
      </c>
      <c r="F9" s="5" t="s">
        <v>209</v>
      </c>
      <c r="G9" s="5" t="s">
        <v>198</v>
      </c>
      <c r="H9" s="5" t="s">
        <v>286</v>
      </c>
    </row>
    <row r="10" spans="1:8" ht="42.75">
      <c r="A10" t="s">
        <v>76</v>
      </c>
      <c r="B10" s="5" t="s">
        <v>279</v>
      </c>
      <c r="C10" s="20" t="s">
        <v>271</v>
      </c>
      <c r="D10" s="5" t="s">
        <v>198</v>
      </c>
      <c r="E10" s="5" t="s">
        <v>183</v>
      </c>
      <c r="F10" s="5" t="s">
        <v>283</v>
      </c>
      <c r="G10" s="5" t="s">
        <v>198</v>
      </c>
      <c r="H10" s="5" t="s">
        <v>286</v>
      </c>
    </row>
    <row r="11" spans="1:8" ht="42.75">
      <c r="A11" t="s">
        <v>115</v>
      </c>
      <c r="B11" s="5" t="s">
        <v>279</v>
      </c>
      <c r="C11" s="20" t="s">
        <v>271</v>
      </c>
      <c r="D11" s="5" t="s">
        <v>198</v>
      </c>
      <c r="E11" s="5" t="s">
        <v>186</v>
      </c>
      <c r="F11" s="5" t="s">
        <v>284</v>
      </c>
      <c r="G11" s="5" t="s">
        <v>198</v>
      </c>
      <c r="H11" s="5"/>
    </row>
  </sheetData>
  <mergeCells count="1">
    <mergeCell ref="A1:H1"/>
  </mergeCells>
  <dataValidations count="1">
    <dataValidation type="list" sqref="D4:D11 G4:G11" xr:uid="{00000000-0002-0000-0400-000000000000}">
      <formula1>"Yes,No"</formula1>
    </dataValidation>
  </dataValidations>
  <hyperlinks>
    <hyperlink ref="C4" r:id="rId1" xr:uid="{22EE96D1-C84B-4479-B716-8DDF47060DB8}"/>
    <hyperlink ref="C5" r:id="rId2" xr:uid="{B86CE22F-DA45-4B11-AA2B-2850C5C8316D}"/>
    <hyperlink ref="C8" r:id="rId3" xr:uid="{19154855-4D38-4F0F-A450-E2A9D367E4B8}"/>
    <hyperlink ref="C6" r:id="rId4" xr:uid="{9AE667E5-C4B0-4F53-9CA3-3396545C7D24}"/>
    <hyperlink ref="C7" r:id="rId5" xr:uid="{58FABC46-683F-459F-B362-071A4E3A2136}"/>
    <hyperlink ref="C9" r:id="rId6" xr:uid="{51E0DB00-7AEA-4D5A-957D-6C1D50762050}"/>
    <hyperlink ref="C10" r:id="rId7" xr:uid="{24D90D56-0A3E-4C4C-9407-623EEABD2729}"/>
    <hyperlink ref="C11" r:id="rId8" xr:uid="{FCDA2FBF-857B-44A2-ADA3-1F139590986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3"/>
  <sheetViews>
    <sheetView topLeftCell="H1" workbookViewId="0">
      <selection activeCell="I8" sqref="I8"/>
    </sheetView>
  </sheetViews>
  <sheetFormatPr defaultRowHeight="14.25"/>
  <cols>
    <col min="1" max="1" width="15" customWidth="1"/>
    <col min="2" max="2" width="32" customWidth="1"/>
    <col min="3" max="3" width="34" customWidth="1"/>
    <col min="4" max="4" width="38" customWidth="1"/>
    <col min="5" max="5" width="24" customWidth="1"/>
    <col min="6" max="8" width="15" customWidth="1"/>
    <col min="9" max="9" width="32" customWidth="1"/>
  </cols>
  <sheetData>
    <row r="1" spans="1:9" ht="33.950000000000003" customHeight="1">
      <c r="A1" s="13" t="s">
        <v>116</v>
      </c>
      <c r="B1" s="13"/>
      <c r="C1" s="13"/>
      <c r="D1" s="13"/>
      <c r="E1" s="13"/>
      <c r="F1" s="13"/>
      <c r="G1" s="13"/>
      <c r="H1" s="13"/>
      <c r="I1" s="13"/>
    </row>
    <row r="3" spans="1:9" ht="30" customHeight="1">
      <c r="A3" s="1" t="s">
        <v>117</v>
      </c>
      <c r="B3" s="1" t="s">
        <v>118</v>
      </c>
      <c r="C3" s="1" t="s">
        <v>119</v>
      </c>
      <c r="D3" s="1" t="s">
        <v>120</v>
      </c>
      <c r="E3" s="1" t="s">
        <v>112</v>
      </c>
      <c r="F3" s="1" t="s">
        <v>121</v>
      </c>
      <c r="G3" s="1" t="s">
        <v>53</v>
      </c>
      <c r="H3" s="1" t="s">
        <v>122</v>
      </c>
      <c r="I3" s="1" t="s">
        <v>114</v>
      </c>
    </row>
    <row r="4" spans="1:9" ht="42.75">
      <c r="A4" s="5" t="s">
        <v>166</v>
      </c>
      <c r="B4" s="5" t="s">
        <v>230</v>
      </c>
      <c r="C4" s="5" t="s">
        <v>231</v>
      </c>
      <c r="D4" s="5" t="s">
        <v>232</v>
      </c>
      <c r="E4" s="5" t="s">
        <v>155</v>
      </c>
      <c r="F4" s="5" t="s">
        <v>174</v>
      </c>
      <c r="G4" s="5" t="s">
        <v>34</v>
      </c>
      <c r="H4" s="5" t="s">
        <v>174</v>
      </c>
      <c r="I4" s="5" t="s">
        <v>233</v>
      </c>
    </row>
    <row r="5" spans="1:9" ht="28.5">
      <c r="A5" s="5" t="s">
        <v>234</v>
      </c>
      <c r="B5" s="5" t="s">
        <v>235</v>
      </c>
      <c r="C5" s="5" t="s">
        <v>236</v>
      </c>
      <c r="D5" s="5" t="s">
        <v>237</v>
      </c>
      <c r="E5" s="5" t="s">
        <v>200</v>
      </c>
      <c r="F5" s="5" t="s">
        <v>177</v>
      </c>
      <c r="G5" s="5" t="s">
        <v>34</v>
      </c>
      <c r="H5" s="5" t="s">
        <v>177</v>
      </c>
      <c r="I5" s="5" t="s">
        <v>238</v>
      </c>
    </row>
    <row r="6" spans="1:9" ht="42.75">
      <c r="A6" s="5" t="s">
        <v>177</v>
      </c>
      <c r="B6" s="5" t="s">
        <v>239</v>
      </c>
      <c r="C6" s="5" t="s">
        <v>240</v>
      </c>
      <c r="D6" s="5" t="s">
        <v>241</v>
      </c>
      <c r="E6" s="5" t="s">
        <v>205</v>
      </c>
      <c r="F6" s="5" t="s">
        <v>183</v>
      </c>
      <c r="G6" s="5" t="s">
        <v>34</v>
      </c>
      <c r="H6" s="5" t="s">
        <v>183</v>
      </c>
      <c r="I6" s="5" t="s">
        <v>242</v>
      </c>
    </row>
    <row r="7" spans="1:9" ht="42.75">
      <c r="A7" s="5" t="s">
        <v>178</v>
      </c>
      <c r="B7" s="5" t="s">
        <v>243</v>
      </c>
      <c r="C7" s="5" t="s">
        <v>244</v>
      </c>
      <c r="D7" s="5" t="s">
        <v>245</v>
      </c>
      <c r="E7" s="5" t="s">
        <v>200</v>
      </c>
      <c r="F7" s="5" t="s">
        <v>184</v>
      </c>
      <c r="G7" s="5" t="s">
        <v>34</v>
      </c>
      <c r="H7" s="5" t="s">
        <v>184</v>
      </c>
      <c r="I7" s="5" t="s">
        <v>246</v>
      </c>
    </row>
    <row r="8" spans="1:9" ht="42.75">
      <c r="A8" s="5" t="s">
        <v>184</v>
      </c>
      <c r="B8" s="5" t="s">
        <v>247</v>
      </c>
      <c r="C8" s="5" t="s">
        <v>248</v>
      </c>
      <c r="D8" s="5" t="s">
        <v>249</v>
      </c>
      <c r="E8" s="5" t="s">
        <v>250</v>
      </c>
      <c r="F8" s="5" t="s">
        <v>187</v>
      </c>
      <c r="G8" s="5" t="s">
        <v>34</v>
      </c>
      <c r="H8" s="5" t="s">
        <v>187</v>
      </c>
      <c r="I8" s="5" t="s">
        <v>251</v>
      </c>
    </row>
    <row r="9" spans="1:9">
      <c r="A9" s="5"/>
      <c r="B9" s="5"/>
      <c r="C9" s="5"/>
      <c r="D9" s="5"/>
      <c r="E9" s="5"/>
      <c r="F9" s="5"/>
      <c r="G9" s="5" t="s">
        <v>43</v>
      </c>
      <c r="H9" s="5"/>
      <c r="I9" s="5"/>
    </row>
    <row r="10" spans="1:9">
      <c r="A10" s="5"/>
      <c r="B10" s="5"/>
      <c r="C10" s="5"/>
      <c r="D10" s="5"/>
      <c r="E10" s="5"/>
      <c r="F10" s="5"/>
      <c r="G10" s="5" t="s">
        <v>43</v>
      </c>
      <c r="H10" s="5"/>
      <c r="I10" s="5"/>
    </row>
    <row r="11" spans="1:9">
      <c r="A11" s="5"/>
      <c r="B11" s="5"/>
      <c r="C11" s="5"/>
      <c r="D11" s="5"/>
      <c r="E11" s="5"/>
      <c r="F11" s="5"/>
      <c r="G11" s="5" t="s">
        <v>43</v>
      </c>
      <c r="H11" s="5"/>
      <c r="I11" s="5"/>
    </row>
    <row r="12" spans="1:9">
      <c r="A12" s="5"/>
      <c r="B12" s="5"/>
      <c r="C12" s="5"/>
      <c r="D12" s="5"/>
      <c r="E12" s="5"/>
      <c r="F12" s="5"/>
      <c r="G12" s="5" t="s">
        <v>43</v>
      </c>
      <c r="H12" s="5"/>
      <c r="I12" s="5"/>
    </row>
    <row r="13" spans="1:9">
      <c r="A13" s="5"/>
      <c r="B13" s="5"/>
      <c r="C13" s="5"/>
      <c r="D13" s="5"/>
      <c r="E13" s="5"/>
      <c r="F13" s="5"/>
      <c r="G13" s="5" t="s">
        <v>43</v>
      </c>
      <c r="H13" s="5"/>
      <c r="I13" s="5"/>
    </row>
    <row r="14" spans="1:9">
      <c r="A14" s="5"/>
      <c r="B14" s="5"/>
      <c r="C14" s="5"/>
      <c r="D14" s="5"/>
      <c r="E14" s="5"/>
      <c r="F14" s="5"/>
      <c r="G14" s="5" t="s">
        <v>43</v>
      </c>
      <c r="H14" s="5"/>
      <c r="I14" s="5"/>
    </row>
    <row r="15" spans="1:9">
      <c r="A15" s="5"/>
      <c r="B15" s="5"/>
      <c r="C15" s="5"/>
      <c r="D15" s="5"/>
      <c r="E15" s="5"/>
      <c r="F15" s="5"/>
      <c r="G15" s="5" t="s">
        <v>43</v>
      </c>
      <c r="H15" s="5"/>
      <c r="I15" s="5"/>
    </row>
    <row r="16" spans="1:9">
      <c r="A16" s="5"/>
      <c r="B16" s="5"/>
      <c r="C16" s="5"/>
      <c r="D16" s="5"/>
      <c r="E16" s="5"/>
      <c r="F16" s="5"/>
      <c r="G16" s="5" t="s">
        <v>43</v>
      </c>
      <c r="H16" s="5"/>
      <c r="I16" s="5"/>
    </row>
    <row r="17" spans="1:9">
      <c r="A17" s="5"/>
      <c r="B17" s="5"/>
      <c r="C17" s="5"/>
      <c r="D17" s="5"/>
      <c r="E17" s="5"/>
      <c r="F17" s="5"/>
      <c r="G17" s="5" t="s">
        <v>43</v>
      </c>
      <c r="H17" s="5"/>
      <c r="I17" s="5"/>
    </row>
    <row r="18" spans="1:9">
      <c r="A18" s="5"/>
      <c r="B18" s="5"/>
      <c r="C18" s="5"/>
      <c r="D18" s="5"/>
      <c r="E18" s="5"/>
      <c r="F18" s="5"/>
      <c r="G18" s="5" t="s">
        <v>43</v>
      </c>
      <c r="H18" s="5"/>
      <c r="I18" s="5"/>
    </row>
    <row r="19" spans="1:9">
      <c r="A19" s="5"/>
      <c r="B19" s="5"/>
      <c r="C19" s="5"/>
      <c r="D19" s="5"/>
      <c r="E19" s="5"/>
      <c r="F19" s="5"/>
      <c r="G19" s="5" t="s">
        <v>43</v>
      </c>
      <c r="H19" s="5"/>
      <c r="I19" s="5"/>
    </row>
    <row r="20" spans="1:9">
      <c r="A20" s="5"/>
      <c r="B20" s="5"/>
      <c r="C20" s="5"/>
      <c r="D20" s="5"/>
      <c r="E20" s="5"/>
      <c r="F20" s="5"/>
      <c r="G20" s="5" t="s">
        <v>43</v>
      </c>
      <c r="H20" s="5"/>
      <c r="I20" s="5"/>
    </row>
    <row r="21" spans="1:9">
      <c r="A21" s="5"/>
      <c r="B21" s="5"/>
      <c r="C21" s="5"/>
      <c r="D21" s="5"/>
      <c r="E21" s="5"/>
      <c r="F21" s="5"/>
      <c r="G21" s="5" t="s">
        <v>43</v>
      </c>
      <c r="H21" s="5"/>
      <c r="I21" s="5"/>
    </row>
    <row r="22" spans="1:9">
      <c r="A22" s="5"/>
      <c r="B22" s="5"/>
      <c r="C22" s="5"/>
      <c r="D22" s="5"/>
      <c r="E22" s="5"/>
      <c r="F22" s="5"/>
      <c r="G22" s="5" t="s">
        <v>43</v>
      </c>
      <c r="H22" s="5"/>
      <c r="I22" s="5"/>
    </row>
    <row r="23" spans="1:9">
      <c r="A23" s="5"/>
      <c r="B23" s="5"/>
      <c r="C23" s="5"/>
      <c r="D23" s="5"/>
      <c r="E23" s="5"/>
      <c r="F23" s="5"/>
      <c r="G23" s="5" t="s">
        <v>43</v>
      </c>
      <c r="H23" s="5"/>
      <c r="I23" s="5"/>
    </row>
    <row r="24" spans="1:9">
      <c r="A24" s="5"/>
      <c r="B24" s="5"/>
      <c r="C24" s="5"/>
      <c r="D24" s="5"/>
      <c r="E24" s="5"/>
      <c r="F24" s="5"/>
      <c r="G24" s="5" t="s">
        <v>43</v>
      </c>
      <c r="H24" s="5"/>
      <c r="I24" s="5"/>
    </row>
    <row r="25" spans="1:9">
      <c r="A25" s="5"/>
      <c r="B25" s="5"/>
      <c r="C25" s="5"/>
      <c r="D25" s="5"/>
      <c r="E25" s="5"/>
      <c r="F25" s="5"/>
      <c r="G25" s="5" t="s">
        <v>43</v>
      </c>
      <c r="H25" s="5"/>
      <c r="I25" s="5"/>
    </row>
    <row r="26" spans="1:9">
      <c r="A26" s="5"/>
      <c r="B26" s="5"/>
      <c r="C26" s="5"/>
      <c r="D26" s="5"/>
      <c r="E26" s="5"/>
      <c r="F26" s="5"/>
      <c r="G26" s="5" t="s">
        <v>43</v>
      </c>
      <c r="H26" s="5"/>
      <c r="I26" s="5"/>
    </row>
    <row r="27" spans="1:9">
      <c r="A27" s="5"/>
      <c r="B27" s="5"/>
      <c r="C27" s="5"/>
      <c r="D27" s="5"/>
      <c r="E27" s="5"/>
      <c r="F27" s="5"/>
      <c r="G27" s="5" t="s">
        <v>43</v>
      </c>
      <c r="H27" s="5"/>
      <c r="I27" s="5"/>
    </row>
    <row r="28" spans="1:9">
      <c r="A28" s="5"/>
      <c r="B28" s="5"/>
      <c r="C28" s="5"/>
      <c r="D28" s="5"/>
      <c r="E28" s="5"/>
      <c r="F28" s="5"/>
      <c r="G28" s="5" t="s">
        <v>43</v>
      </c>
      <c r="H28" s="5"/>
      <c r="I28" s="5"/>
    </row>
    <row r="29" spans="1:9">
      <c r="A29" s="5"/>
      <c r="B29" s="5"/>
      <c r="C29" s="5"/>
      <c r="D29" s="5"/>
      <c r="E29" s="5"/>
      <c r="F29" s="5"/>
      <c r="G29" s="5" t="s">
        <v>43</v>
      </c>
      <c r="H29" s="5"/>
      <c r="I29" s="5"/>
    </row>
    <row r="30" spans="1:9">
      <c r="A30" s="5"/>
      <c r="B30" s="5"/>
      <c r="C30" s="5"/>
      <c r="D30" s="5"/>
      <c r="E30" s="5"/>
      <c r="F30" s="5"/>
      <c r="G30" s="5" t="s">
        <v>43</v>
      </c>
      <c r="H30" s="5"/>
      <c r="I30" s="5"/>
    </row>
    <row r="31" spans="1:9">
      <c r="A31" s="5"/>
      <c r="B31" s="5"/>
      <c r="C31" s="5"/>
      <c r="D31" s="5"/>
      <c r="E31" s="5"/>
      <c r="F31" s="5"/>
      <c r="G31" s="5" t="s">
        <v>43</v>
      </c>
      <c r="H31" s="5"/>
      <c r="I31" s="5"/>
    </row>
    <row r="32" spans="1:9">
      <c r="A32" s="5"/>
      <c r="B32" s="5"/>
      <c r="C32" s="5"/>
      <c r="D32" s="5"/>
      <c r="E32" s="5"/>
      <c r="F32" s="5"/>
      <c r="G32" s="5" t="s">
        <v>43</v>
      </c>
      <c r="H32" s="5"/>
      <c r="I32" s="5"/>
    </row>
    <row r="33" spans="1:9">
      <c r="A33" s="5"/>
      <c r="B33" s="5"/>
      <c r="C33" s="5"/>
      <c r="D33" s="5"/>
      <c r="E33" s="5"/>
      <c r="F33" s="5"/>
      <c r="G33" s="5" t="s">
        <v>43</v>
      </c>
      <c r="H33" s="5"/>
      <c r="I33" s="5"/>
    </row>
  </sheetData>
  <mergeCells count="1">
    <mergeCell ref="A1:I1"/>
  </mergeCells>
  <conditionalFormatting sqref="G4:G33">
    <cfRule type="expression" dxfId="1" priority="1">
      <formula>G4="Completed"</formula>
    </cfRule>
    <cfRule type="expression" dxfId="0" priority="2">
      <formula>G4="Blocked"</formula>
    </cfRule>
  </conditionalFormatting>
  <dataValidations count="1">
    <dataValidation type="list" sqref="G4:G33" xr:uid="{00000000-0002-0000-0500-000000000000}">
      <formula1>"Not Started,In Progress,Completed,Blocked"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workbookViewId="0">
      <selection activeCell="F16" sqref="F16"/>
    </sheetView>
  </sheetViews>
  <sheetFormatPr defaultRowHeight="14.25"/>
  <cols>
    <col min="1" max="1" width="38" customWidth="1"/>
    <col min="2" max="3" width="34" customWidth="1"/>
    <col min="4" max="4" width="4" customWidth="1"/>
    <col min="5" max="5" width="38" customWidth="1"/>
    <col min="6" max="6" width="14" customWidth="1"/>
  </cols>
  <sheetData>
    <row r="1" spans="1:6" ht="33.950000000000003" customHeight="1">
      <c r="A1" s="13" t="s">
        <v>30</v>
      </c>
      <c r="B1" s="13"/>
      <c r="C1" s="13"/>
      <c r="D1" s="13"/>
      <c r="E1" s="13"/>
      <c r="F1" s="13"/>
    </row>
    <row r="3" spans="1:6" ht="30" customHeight="1">
      <c r="A3" s="4" t="s">
        <v>41</v>
      </c>
      <c r="B3" s="11" t="s">
        <v>252</v>
      </c>
      <c r="C3" s="11"/>
      <c r="E3" s="1" t="s">
        <v>123</v>
      </c>
      <c r="F3" s="1" t="s">
        <v>124</v>
      </c>
    </row>
    <row r="4" spans="1:6" ht="15">
      <c r="A4" s="4" t="s">
        <v>42</v>
      </c>
      <c r="B4" s="11" t="s">
        <v>34</v>
      </c>
      <c r="C4" s="11"/>
      <c r="E4" t="s">
        <v>125</v>
      </c>
      <c r="F4" s="5" t="s">
        <v>198</v>
      </c>
    </row>
    <row r="5" spans="1:6" ht="15">
      <c r="A5" s="4" t="s">
        <v>126</v>
      </c>
      <c r="B5" s="11" t="s">
        <v>253</v>
      </c>
      <c r="C5" s="11"/>
      <c r="E5" t="s">
        <v>127</v>
      </c>
      <c r="F5" s="5" t="s">
        <v>198</v>
      </c>
    </row>
    <row r="6" spans="1:6" ht="15">
      <c r="A6" s="4" t="s">
        <v>128</v>
      </c>
      <c r="B6" s="11" t="s">
        <v>254</v>
      </c>
      <c r="C6" s="11"/>
      <c r="E6" t="s">
        <v>129</v>
      </c>
      <c r="F6" s="5" t="s">
        <v>198</v>
      </c>
    </row>
    <row r="7" spans="1:6" ht="15">
      <c r="A7" s="4" t="s">
        <v>130</v>
      </c>
      <c r="B7" s="11" t="s">
        <v>255</v>
      </c>
      <c r="C7" s="11"/>
      <c r="E7" t="s">
        <v>131</v>
      </c>
      <c r="F7" s="5" t="s">
        <v>198</v>
      </c>
    </row>
    <row r="8" spans="1:6" ht="30">
      <c r="A8" s="4" t="s">
        <v>132</v>
      </c>
      <c r="B8" s="11" t="s">
        <v>256</v>
      </c>
      <c r="C8" s="11"/>
      <c r="E8" t="s">
        <v>133</v>
      </c>
      <c r="F8" s="5" t="s">
        <v>198</v>
      </c>
    </row>
    <row r="9" spans="1:6" ht="15">
      <c r="A9" s="4" t="s">
        <v>134</v>
      </c>
      <c r="B9" s="11" t="s">
        <v>257</v>
      </c>
      <c r="C9" s="11"/>
      <c r="E9" t="s">
        <v>135</v>
      </c>
      <c r="F9" s="5" t="s">
        <v>198</v>
      </c>
    </row>
    <row r="10" spans="1:6" ht="15">
      <c r="A10" s="4" t="s">
        <v>136</v>
      </c>
      <c r="B10" s="11" t="s">
        <v>258</v>
      </c>
      <c r="C10" s="11"/>
      <c r="E10" t="s">
        <v>137</v>
      </c>
      <c r="F10" s="5" t="s">
        <v>198</v>
      </c>
    </row>
    <row r="11" spans="1:6" ht="15">
      <c r="A11" s="4" t="s">
        <v>138</v>
      </c>
      <c r="B11" s="11" t="s">
        <v>259</v>
      </c>
      <c r="C11" s="11"/>
      <c r="E11" t="s">
        <v>139</v>
      </c>
      <c r="F11" s="5" t="s">
        <v>198</v>
      </c>
    </row>
    <row r="12" spans="1:6">
      <c r="E12" t="s">
        <v>140</v>
      </c>
      <c r="F12" s="5" t="s">
        <v>198</v>
      </c>
    </row>
    <row r="13" spans="1:6">
      <c r="E13" t="s">
        <v>141</v>
      </c>
      <c r="F13" s="5" t="s">
        <v>198</v>
      </c>
    </row>
    <row r="14" spans="1:6">
      <c r="E14" t="s">
        <v>142</v>
      </c>
      <c r="F14" s="5" t="s">
        <v>198</v>
      </c>
    </row>
    <row r="15" spans="1:6">
      <c r="E15" t="s">
        <v>143</v>
      </c>
      <c r="F15" s="5" t="s">
        <v>198</v>
      </c>
    </row>
    <row r="16" spans="1:6">
      <c r="E16" t="s">
        <v>144</v>
      </c>
      <c r="F16" s="5" t="s">
        <v>198</v>
      </c>
    </row>
  </sheetData>
  <mergeCells count="10">
    <mergeCell ref="A1:F1"/>
    <mergeCell ref="B3:C3"/>
    <mergeCell ref="B4:C4"/>
    <mergeCell ref="B5:C5"/>
    <mergeCell ref="B6:C6"/>
    <mergeCell ref="B7:C7"/>
    <mergeCell ref="B8:C8"/>
    <mergeCell ref="B9:C9"/>
    <mergeCell ref="B10:C10"/>
    <mergeCell ref="B11:C11"/>
  </mergeCells>
  <dataValidations count="2">
    <dataValidation type="list" sqref="B4" xr:uid="{00000000-0002-0000-0600-000000000000}">
      <formula1>"Not Started,In Progress,Completed,Blocked"</formula1>
    </dataValidation>
    <dataValidation type="list" sqref="F4:F16" xr:uid="{00000000-0002-0000-0600-000001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
  <sheetViews>
    <sheetView tabSelected="1" workbookViewId="0">
      <selection activeCell="A20" sqref="A20:F21"/>
    </sheetView>
  </sheetViews>
  <sheetFormatPr defaultRowHeight="14.25"/>
  <cols>
    <col min="1" max="6" width="24" customWidth="1"/>
  </cols>
  <sheetData>
    <row r="1" spans="1:6" ht="33.950000000000003" customHeight="1">
      <c r="A1" s="13" t="s">
        <v>145</v>
      </c>
      <c r="B1" s="13"/>
      <c r="C1" s="13"/>
      <c r="D1" s="13"/>
      <c r="E1" s="13"/>
      <c r="F1" s="13"/>
    </row>
    <row r="3" spans="1:6" ht="27.95" customHeight="1">
      <c r="A3" s="12" t="s">
        <v>146</v>
      </c>
      <c r="B3" s="12"/>
      <c r="C3" s="12"/>
      <c r="D3" s="12"/>
      <c r="E3" s="12"/>
      <c r="F3" s="12"/>
    </row>
    <row r="4" spans="1:6" ht="38.1" customHeight="1">
      <c r="A4" s="14" t="s">
        <v>260</v>
      </c>
      <c r="B4" s="14"/>
      <c r="C4" s="14"/>
      <c r="D4" s="14"/>
      <c r="E4" s="14"/>
      <c r="F4" s="14"/>
    </row>
    <row r="5" spans="1:6" ht="38.1" customHeight="1">
      <c r="A5" s="14"/>
      <c r="B5" s="14"/>
      <c r="C5" s="14"/>
      <c r="D5" s="14"/>
      <c r="E5" s="14"/>
      <c r="F5" s="14"/>
    </row>
    <row r="6" spans="1:6" ht="30" customHeight="1">
      <c r="A6" s="9"/>
      <c r="B6" s="9"/>
      <c r="C6" s="9"/>
      <c r="D6" s="9"/>
      <c r="E6" s="9"/>
      <c r="F6" s="9"/>
    </row>
    <row r="7" spans="1:6" ht="27.95" customHeight="1">
      <c r="A7" s="15" t="s">
        <v>147</v>
      </c>
      <c r="B7" s="15"/>
      <c r="C7" s="15"/>
      <c r="D7" s="15"/>
      <c r="E7" s="15"/>
      <c r="F7" s="15"/>
    </row>
    <row r="8" spans="1:6" ht="38.1" customHeight="1">
      <c r="A8" s="14" t="s">
        <v>261</v>
      </c>
      <c r="B8" s="14"/>
      <c r="C8" s="14"/>
      <c r="D8" s="14"/>
      <c r="E8" s="14"/>
      <c r="F8" s="14"/>
    </row>
    <row r="9" spans="1:6" ht="38.1" customHeight="1">
      <c r="A9" s="11"/>
      <c r="B9" s="11"/>
      <c r="C9" s="11"/>
      <c r="D9" s="11"/>
      <c r="E9" s="11"/>
      <c r="F9" s="11"/>
    </row>
    <row r="10" spans="1:6" ht="42" customHeight="1">
      <c r="A10" s="5"/>
      <c r="B10" s="5"/>
      <c r="C10" s="5"/>
      <c r="D10" s="5"/>
      <c r="E10" s="5"/>
      <c r="F10" s="5"/>
    </row>
    <row r="11" spans="1:6" ht="27.95" customHeight="1">
      <c r="A11" s="12" t="s">
        <v>148</v>
      </c>
      <c r="B11" s="12"/>
      <c r="C11" s="12"/>
      <c r="D11" s="12"/>
      <c r="E11" s="12"/>
      <c r="F11" s="12"/>
    </row>
    <row r="12" spans="1:6" ht="38.1" customHeight="1">
      <c r="A12" s="11" t="s">
        <v>262</v>
      </c>
      <c r="B12" s="11"/>
      <c r="C12" s="11"/>
      <c r="D12" s="11"/>
      <c r="E12" s="11"/>
      <c r="F12" s="11"/>
    </row>
    <row r="13" spans="1:6" ht="38.1" customHeight="1">
      <c r="A13" s="11"/>
      <c r="B13" s="11"/>
      <c r="C13" s="11"/>
      <c r="D13" s="11"/>
      <c r="E13" s="11"/>
      <c r="F13" s="11"/>
    </row>
    <row r="15" spans="1:6" ht="27.95" customHeight="1">
      <c r="A15" s="12" t="s">
        <v>149</v>
      </c>
      <c r="B15" s="12"/>
      <c r="C15" s="12"/>
      <c r="D15" s="12"/>
      <c r="E15" s="12"/>
      <c r="F15" s="12"/>
    </row>
    <row r="16" spans="1:6" ht="38.1" customHeight="1">
      <c r="A16" s="11" t="s">
        <v>263</v>
      </c>
      <c r="B16" s="11"/>
      <c r="C16" s="11"/>
      <c r="D16" s="11"/>
      <c r="E16" s="11"/>
      <c r="F16" s="11"/>
    </row>
    <row r="17" spans="1:6" ht="38.1" customHeight="1">
      <c r="A17" s="11"/>
      <c r="B17" s="11"/>
      <c r="C17" s="11"/>
      <c r="D17" s="11"/>
      <c r="E17" s="11"/>
      <c r="F17" s="11"/>
    </row>
    <row r="19" spans="1:6" ht="27.95" customHeight="1">
      <c r="A19" s="12" t="s">
        <v>150</v>
      </c>
      <c r="B19" s="12"/>
      <c r="C19" s="12"/>
      <c r="D19" s="12"/>
      <c r="E19" s="12"/>
      <c r="F19" s="12"/>
    </row>
    <row r="20" spans="1:6" ht="38.1" customHeight="1">
      <c r="A20" s="11" t="s">
        <v>264</v>
      </c>
      <c r="B20" s="11"/>
      <c r="C20" s="11"/>
      <c r="D20" s="11"/>
      <c r="E20" s="11"/>
      <c r="F20" s="11"/>
    </row>
    <row r="21" spans="1:6" ht="38.1" customHeight="1">
      <c r="A21" s="11"/>
      <c r="B21" s="11"/>
      <c r="C21" s="11"/>
      <c r="D21" s="11"/>
      <c r="E21" s="11"/>
      <c r="F21" s="11"/>
    </row>
    <row r="23" spans="1:6" ht="27.95" customHeight="1">
      <c r="A23" s="12" t="s">
        <v>151</v>
      </c>
      <c r="B23" s="12"/>
      <c r="C23" s="12"/>
      <c r="D23" s="12"/>
      <c r="E23" s="12"/>
      <c r="F23" s="12"/>
    </row>
    <row r="24" spans="1:6" ht="38.1" customHeight="1">
      <c r="A24" s="11" t="s">
        <v>265</v>
      </c>
      <c r="B24" s="11"/>
      <c r="C24" s="11"/>
      <c r="D24" s="11"/>
      <c r="E24" s="11"/>
      <c r="F24" s="11"/>
    </row>
    <row r="25" spans="1:6" ht="38.1" customHeight="1">
      <c r="A25" s="11"/>
      <c r="B25" s="11"/>
      <c r="C25" s="11"/>
      <c r="D25" s="11"/>
      <c r="E25" s="11"/>
      <c r="F25" s="11"/>
    </row>
  </sheetData>
  <mergeCells count="13">
    <mergeCell ref="A1:F1"/>
    <mergeCell ref="A3:F3"/>
    <mergeCell ref="A4:F5"/>
    <mergeCell ref="A7:F7"/>
    <mergeCell ref="A8:F9"/>
    <mergeCell ref="A20:F21"/>
    <mergeCell ref="A23:F23"/>
    <mergeCell ref="A24:F25"/>
    <mergeCell ref="A11:F11"/>
    <mergeCell ref="A12:F13"/>
    <mergeCell ref="A15:F15"/>
    <mergeCell ref="A16:F17"/>
    <mergeCell ref="A19:F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Design Progress</vt:lpstr>
      <vt:lpstr>Individual Contributions</vt:lpstr>
      <vt:lpstr>Design Source Links</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faith motseki</cp:lastModifiedBy>
  <dcterms:modified xsi:type="dcterms:W3CDTF">2026-10-13T21:52:33Z</dcterms:modified>
</cp:coreProperties>
</file>